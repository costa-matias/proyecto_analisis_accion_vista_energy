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CED5825D-2C85-42BC-8075-5C4E6EFE98D7}" xr6:coauthVersionLast="47" xr6:coauthVersionMax="47" xr10:uidLastSave="{00000000-0000-0000-0000-000000000000}"/>
  <bookViews>
    <workbookView xWindow="9195" yWindow="0" windowWidth="19590" windowHeight="15585" activeTab="2" xr2:uid="{00000000-000D-0000-FFFF-FFFF00000000}"/>
  </bookViews>
  <sheets>
    <sheet name="filtro_por_año" sheetId="1" r:id="rId1"/>
    <sheet name="df_Corr_filtro" sheetId="2" r:id="rId2"/>
    <sheet name="Correlacion_mensual" sheetId="3" r:id="rId3"/>
    <sheet name="var_mensual" sheetId="4" r:id="rId4"/>
    <sheet name="Var_mensual_Heatmap" sheetId="5" r:id="rId5"/>
    <sheet name="Retorn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6" l="1"/>
  <c r="E7" i="6"/>
  <c r="E2" i="6"/>
  <c r="E6" i="6"/>
  <c r="E5" i="6"/>
  <c r="E4" i="6"/>
  <c r="E3" i="6"/>
</calcChain>
</file>

<file path=xl/sharedStrings.xml><?xml version="1.0" encoding="utf-8"?>
<sst xmlns="http://schemas.openxmlformats.org/spreadsheetml/2006/main" count="56" uniqueCount="48">
  <si>
    <t>Fecha</t>
  </si>
  <si>
    <t>Precio</t>
  </si>
  <si>
    <t>Vol.</t>
  </si>
  <si>
    <t>% var.</t>
  </si>
  <si>
    <t>Año</t>
  </si>
  <si>
    <t>Mes</t>
  </si>
  <si>
    <t>Precio_apertura_año</t>
  </si>
  <si>
    <t>Precio_cierre_año</t>
  </si>
  <si>
    <t>retorno_anual_%</t>
  </si>
  <si>
    <t>retorno anual % formateado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</si>
  <si>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</si>
  <si>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</si>
  <si>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</si>
  <si>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</si>
  <si>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</si>
  <si>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</si>
  <si>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</si>
  <si>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</si>
  <si>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</si>
  <si>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</si>
  <si>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</si>
  <si>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</si>
  <si>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</si>
  <si>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</si>
  <si>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</si>
  <si>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</si>
  <si>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</si>
  <si>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</si>
  <si>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</si>
  <si>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</si>
  <si>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</si>
  <si>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</si>
  <si>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</si>
  <si>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</si>
  <si>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</si>
  <si>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</si>
  <si>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</si>
  <si>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</si>
  <si>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</si>
  <si>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</si>
  <si>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</si>
  <si>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</si>
  <si>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</si>
  <si>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</si>
  <si>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</si>
  <si>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</si>
  <si>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</si>
  <si>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Correlacion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</si>
</sst>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"/>
    <numFmt numFmtId="165" formatCode="[$$-409]#,##0"/>
    <numFmt numFmtId="166" formatCode="&quot;$&quot;\ #,##0.00"/>
    <numFmt numFmtId="167" formatCode="&quot;$&quot;\ #,##0"/>
  </numFmts>
  <fonts count="6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  <font>
      <sz val="11"/>
      <color rgb="FF1F1F1F"/>
      <name val="Google Sans Text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3" borderId="2" xfId="0" applyFont="1" applyFill="1" applyBorder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10" fontId="0" fillId="0" borderId="0" xfId="0" applyNumberFormat="1"/>
    <xf numFmtId="9" fontId="0" fillId="0" borderId="0" xfId="1" applyFont="1"/>
    <xf numFmtId="10" fontId="0" fillId="0" borderId="0" xfId="1" applyNumberFormat="1" applyFont="1"/>
    <xf numFmtId="0" fontId="3" fillId="3" borderId="3" xfId="0" applyFont="1" applyFill="1" applyBorder="1"/>
    <xf numFmtId="0" fontId="0" fillId="2" borderId="3" xfId="0" applyFill="1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2" fontId="1" fillId="0" borderId="4" xfId="0" applyNumberFormat="1" applyFont="1" applyBorder="1" applyAlignment="1">
      <alignment horizontal="center" vertical="top"/>
    </xf>
    <xf numFmtId="0" fontId="5" fillId="2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2" fontId="4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5" fontId="0" fillId="0" borderId="0" xfId="0" applyNumberFormat="1"/>
    <xf numFmtId="14" fontId="1" fillId="0" borderId="4" xfId="0" applyNumberFormat="1" applyFont="1" applyBorder="1" applyAlignment="1">
      <alignment horizontal="center" vertical="top"/>
    </xf>
    <xf numFmtId="164" fontId="1" fillId="0" borderId="4" xfId="0" applyNumberFormat="1" applyFont="1" applyBorder="1" applyAlignment="1">
      <alignment horizontal="center" vertical="top"/>
    </xf>
    <xf numFmtId="165" fontId="1" fillId="0" borderId="4" xfId="0" applyNumberFormat="1" applyFont="1" applyBorder="1" applyAlignment="1">
      <alignment horizontal="center" vertical="top"/>
    </xf>
    <xf numFmtId="166" fontId="0" fillId="0" borderId="0" xfId="0" applyNumberFormat="1"/>
    <xf numFmtId="167" fontId="0" fillId="0" borderId="0" xfId="0" applyNumberFormat="1"/>
  </cellXfs>
  <cellStyles count="2">
    <cellStyle name="Normal" xfId="0" builtinId="0"/>
    <cellStyle name="Porcentaje" xfId="1" builtinId="5"/>
  </cellStyles>
  <dxfs count="36">
    <dxf>
      <numFmt numFmtId="2" formatCode="0.00"/>
    </dxf>
    <dxf>
      <numFmt numFmtId="2" formatCode="0.00"/>
    </dxf>
    <dxf>
      <numFmt numFmtId="167" formatCode="&quot;$&quot;\ #,##0"/>
    </dxf>
    <dxf>
      <numFmt numFmtId="166" formatCode="&quot;$&quot;\ #,##0.00"/>
    </dxf>
    <dxf>
      <numFmt numFmtId="19" formatCode="d/m/yyyy"/>
    </dxf>
    <dxf>
      <numFmt numFmtId="2" formatCode="0.00"/>
    </dxf>
    <dxf>
      <numFmt numFmtId="167" formatCode="&quot;$&quot;\ #,##0"/>
    </dxf>
    <dxf>
      <numFmt numFmtId="166" formatCode="&quot;$&quot;\ #,##0.00"/>
    </dxf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0" formatCode="General"/>
    </dxf>
    <dxf>
      <numFmt numFmtId="164" formatCode="[$$-409]#,##0.00"/>
    </dxf>
    <dxf>
      <numFmt numFmtId="164" formatCode="[$$-409]#,##0.00"/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E62ECEC-5B96-4AF0-8C69-F32E8541F5B5}" name="df_vol_precio_var_2024_2025" displayName="df_vol_precio_var_2024_2025" ref="A1:D304" totalsRowShown="0" headerRowBorderDxfId="35" tableBorderDxfId="34">
  <autoFilter ref="A1:D304" xr:uid="{DE62ECEC-5B96-4AF0-8C69-F32E8541F5B5}"/>
  <tableColumns count="4">
    <tableColumn id="1" xr3:uid="{F65F255D-2B6A-46C4-8EEA-8B2370E37823}" name="Fecha" dataDxfId="8"/>
    <tableColumn id="2" xr3:uid="{AA82501F-3BF4-4AB7-97AD-C9230DB86715}" name="Precio" dataDxfId="7"/>
    <tableColumn id="3" xr3:uid="{37D9C1CC-83F6-4A81-9AE9-F96F2F765C69}" name="Vol." dataDxfId="6"/>
    <tableColumn id="4" xr3:uid="{4C2F1E7D-FDC9-4767-98E8-7319C9C6F3FF}" name="% var.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576F209-5D3E-438D-9302-BACE5B839021}" name="df_cerrelacion_filtro_fecha" displayName="df_cerrelacion_filtro_fecha" ref="A1:D561" totalsRowShown="0" headerRowBorderDxfId="33" tableBorderDxfId="32">
  <autoFilter ref="A1:D561" xr:uid="{6576F209-5D3E-438D-9302-BACE5B839021}"/>
  <tableColumns count="4">
    <tableColumn id="1" xr3:uid="{09868634-24A3-4A5C-944C-4053E17BF2BD}" name="Fecha" dataDxfId="4"/>
    <tableColumn id="2" xr3:uid="{0EBED641-E2AE-456F-B4A5-EDC180BA8397}" name="Precio" dataDxfId="3"/>
    <tableColumn id="3" xr3:uid="{5FEEBAED-EA4E-472E-8D03-17B77D18AB2E}" name="Vol." dataDxfId="2"/>
    <tableColumn id="4" xr3:uid="{54BE896B-D2CF-4739-AD1C-6DE080EE2D24}" name="% var.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0639E5-94E1-44A6-B985-57E8C7C67D09}" name="Correlacion_mensual" displayName="Correlacion_mensual" ref="A1:B26" totalsRowShown="0">
  <autoFilter ref="A1:B26" xr:uid="{D30639E5-94E1-44A6-B985-57E8C7C67D09}"/>
  <tableColumns count="2">
    <tableColumn id="1" xr3:uid="{BCE3532D-03BE-4F35-912F-184166E7CB97}" name="Año" dataDxfId="31"/>
    <tableColumn id="2" xr3:uid="{2915CE64-55B5-4AA8-BB89-80D2938C8455}" name="Correlacion mensual" dataDxf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436C6B-A568-490D-BF7E-177189D03297}" name="Variacion_mensual" displayName="Variacion_mensual" ref="A1:C75" totalsRowShown="0" headerRowBorderDxfId="29" tableBorderDxfId="28">
  <autoFilter ref="A1:C75" xr:uid="{9B436C6B-A568-490D-BF7E-177189D03297}"/>
  <tableColumns count="3">
    <tableColumn id="1" xr3:uid="{85A923D4-EEF1-4066-B231-1139AF370776}" name="Año"/>
    <tableColumn id="2" xr3:uid="{0F3D579C-F4B3-4EB3-8248-30820420D6BD}" name="Mes"/>
    <tableColumn id="3" xr3:uid="{BC16D38E-60E9-4E62-99E4-456D238B0058}" name="% var.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65E162-060D-43B8-A924-FBC5A2725AA0}" name="Heatmap" displayName="Heatmap" ref="A1:M8" totalsRowShown="0" headerRowDxfId="27">
  <autoFilter ref="A1:M8" xr:uid="{C065E162-060D-43B8-A924-FBC5A2725AA0}"/>
  <tableColumns count="13">
    <tableColumn id="1" xr3:uid="{BF377DBD-9C24-46CC-81D9-E7CA5618F4D2}" name="Año"/>
    <tableColumn id="2" xr3:uid="{1F9DE5E8-B517-4834-99D2-575C031B8981}" name="1" dataDxfId="26"/>
    <tableColumn id="3" xr3:uid="{EBC280E2-BC41-48BC-9A5D-0AB209537040}" name="2" dataDxfId="25"/>
    <tableColumn id="4" xr3:uid="{0875B30C-15E9-47AC-B52F-6B2A9A1E059D}" name="3" dataDxfId="24"/>
    <tableColumn id="5" xr3:uid="{6CA332E7-AC0D-44B6-997F-6608DED16912}" name="4" dataDxfId="23"/>
    <tableColumn id="6" xr3:uid="{68EBE920-C3E7-4FF5-8DE5-EC9A4B4E54E0}" name="5" dataDxfId="22"/>
    <tableColumn id="7" xr3:uid="{EB19ED6B-E099-4E39-B2D3-27ED59EB8F53}" name="6" dataDxfId="21"/>
    <tableColumn id="8" xr3:uid="{8432908C-6CF6-42DA-8549-C31E3A047713}" name="7" dataDxfId="20"/>
    <tableColumn id="9" xr3:uid="{929B30A6-67B2-443C-BF08-3C1BC8C25885}" name="8" dataDxfId="19"/>
    <tableColumn id="10" xr3:uid="{7FFE42EF-E911-429B-846E-C87BCB9BA8AF}" name="9" dataDxfId="18"/>
    <tableColumn id="11" xr3:uid="{E2D9F6B0-F935-4505-BCAA-99D8DBAB4B0B}" name="10" dataDxfId="17"/>
    <tableColumn id="12" xr3:uid="{7960D6CF-BD53-4268-81E0-7A77B8E22E7D}" name="11" dataDxfId="16"/>
    <tableColumn id="13" xr3:uid="{9A06A38E-5ED0-4E5A-A6EC-C014C4A096C5}" name="12" dataDxfId="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C7EF0E-98E5-4925-BEF7-76A1805241D7}" name="Retorno" displayName="Retorno" ref="A1:E8" totalsRowShown="0" tableBorderDxfId="14">
  <autoFilter ref="A1:E8" xr:uid="{ADC7EF0E-98E5-4925-BEF7-76A1805241D7}"/>
  <tableColumns count="5">
    <tableColumn id="1" xr3:uid="{8163509F-8BDA-4B02-AE8F-31284764BFCC}" name="Año" dataDxfId="13"/>
    <tableColumn id="2" xr3:uid="{BCDF9DCD-4913-446A-9900-CA9CDD4A2F5A}" name="Precio_apertura_año" dataDxfId="12"/>
    <tableColumn id="3" xr3:uid="{2E09E7A8-9C9C-4B2A-A387-D3BBDE6DC7E9}" name="Precio_cierre_año" dataDxfId="11"/>
    <tableColumn id="4" xr3:uid="{84532FAE-5759-4D8C-86C4-88F55D51FC1B}" name="retorno_anual_%" dataDxfId="10"/>
    <tableColumn id="5" xr3:uid="{C83BE72B-C220-44E0-9128-40007624AC25}" name="retorno anual % formateado" dataDxfId="9" dataCellStyle="Porcentaj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4"/>
  <sheetViews>
    <sheetView workbookViewId="0">
      <selection activeCell="G10" sqref="G10"/>
    </sheetView>
  </sheetViews>
  <sheetFormatPr baseColWidth="10" defaultColWidth="9.140625" defaultRowHeight="15"/>
  <cols>
    <col min="1" max="1" width="18.140625" style="17" bestFit="1" customWidth="1"/>
    <col min="2" max="2" width="9.140625" style="4"/>
    <col min="3" max="3" width="10.5703125" style="18" bestFit="1" customWidth="1"/>
    <col min="4" max="4" width="9.140625" style="5"/>
  </cols>
  <sheetData>
    <row r="1" spans="1:4">
      <c r="A1" s="19" t="s">
        <v>0</v>
      </c>
      <c r="B1" s="20" t="s">
        <v>1</v>
      </c>
      <c r="C1" s="21" t="s">
        <v>2</v>
      </c>
      <c r="D1" s="13" t="s">
        <v>3</v>
      </c>
    </row>
    <row r="2" spans="1:4">
      <c r="A2" s="17">
        <v>46059</v>
      </c>
      <c r="B2" s="22">
        <v>55.94</v>
      </c>
      <c r="C2" s="23">
        <v>791710</v>
      </c>
      <c r="D2" s="5">
        <v>3.32</v>
      </c>
    </row>
    <row r="3" spans="1:4">
      <c r="A3" s="17">
        <v>46058</v>
      </c>
      <c r="B3" s="22">
        <v>54.14</v>
      </c>
      <c r="C3" s="23">
        <v>1980000</v>
      </c>
      <c r="D3" s="5">
        <v>-4.75</v>
      </c>
    </row>
    <row r="4" spans="1:4">
      <c r="A4" s="17">
        <v>46057</v>
      </c>
      <c r="B4" s="22">
        <v>56.84</v>
      </c>
      <c r="C4" s="23">
        <v>2150000</v>
      </c>
      <c r="D4" s="5">
        <v>1.5</v>
      </c>
    </row>
    <row r="5" spans="1:4">
      <c r="A5" s="17">
        <v>46056</v>
      </c>
      <c r="B5" s="22">
        <v>56</v>
      </c>
      <c r="C5" s="23">
        <v>6550000</v>
      </c>
      <c r="D5" s="5">
        <v>-7.02</v>
      </c>
    </row>
    <row r="6" spans="1:4">
      <c r="A6" s="17">
        <v>46055</v>
      </c>
      <c r="B6" s="22">
        <v>60.23</v>
      </c>
      <c r="C6" s="23">
        <v>1680000</v>
      </c>
      <c r="D6" s="5">
        <v>-0.43</v>
      </c>
    </row>
    <row r="7" spans="1:4">
      <c r="A7" s="17">
        <v>46052</v>
      </c>
      <c r="B7" s="22">
        <v>60.49</v>
      </c>
      <c r="C7" s="23">
        <v>1420000</v>
      </c>
      <c r="D7" s="5">
        <v>-0.17</v>
      </c>
    </row>
    <row r="8" spans="1:4">
      <c r="A8" s="17">
        <v>46051</v>
      </c>
      <c r="B8" s="22">
        <v>60.59</v>
      </c>
      <c r="C8" s="23">
        <v>2050000</v>
      </c>
      <c r="D8" s="5">
        <v>1.93</v>
      </c>
    </row>
    <row r="9" spans="1:4">
      <c r="A9" s="17">
        <v>46050</v>
      </c>
      <c r="B9" s="22">
        <v>59.44</v>
      </c>
      <c r="C9" s="23">
        <v>1430000</v>
      </c>
      <c r="D9" s="5">
        <v>3.43</v>
      </c>
    </row>
    <row r="10" spans="1:4">
      <c r="A10" s="17">
        <v>46049</v>
      </c>
      <c r="B10" s="22">
        <v>57.47</v>
      </c>
      <c r="C10" s="23">
        <v>2060000</v>
      </c>
      <c r="D10" s="5">
        <v>6.23</v>
      </c>
    </row>
    <row r="11" spans="1:4">
      <c r="A11" s="17">
        <v>46048</v>
      </c>
      <c r="B11" s="22">
        <v>54.1</v>
      </c>
      <c r="C11" s="23">
        <v>971090</v>
      </c>
      <c r="D11" s="5">
        <v>2.27</v>
      </c>
    </row>
    <row r="12" spans="1:4">
      <c r="A12" s="17">
        <v>46045</v>
      </c>
      <c r="B12" s="22">
        <v>52.9</v>
      </c>
      <c r="C12" s="23">
        <v>631040</v>
      </c>
      <c r="D12" s="5">
        <v>2.52</v>
      </c>
    </row>
    <row r="13" spans="1:4">
      <c r="A13" s="17">
        <v>46044</v>
      </c>
      <c r="B13" s="22">
        <v>51.6</v>
      </c>
      <c r="C13" s="23">
        <v>685110</v>
      </c>
      <c r="D13" s="5">
        <v>-1.58</v>
      </c>
    </row>
    <row r="14" spans="1:4">
      <c r="A14" s="17">
        <v>46043</v>
      </c>
      <c r="B14" s="22">
        <v>52.43</v>
      </c>
      <c r="C14" s="23">
        <v>1030000</v>
      </c>
      <c r="D14" s="5">
        <v>6.03</v>
      </c>
    </row>
    <row r="15" spans="1:4">
      <c r="A15" s="17">
        <v>46042</v>
      </c>
      <c r="B15" s="22">
        <v>49.45</v>
      </c>
      <c r="C15" s="23">
        <v>771180</v>
      </c>
      <c r="D15" s="5">
        <v>0.84</v>
      </c>
    </row>
    <row r="16" spans="1:4">
      <c r="A16" s="17">
        <v>46038</v>
      </c>
      <c r="B16" s="22">
        <v>49.04</v>
      </c>
      <c r="C16" s="23">
        <v>414900</v>
      </c>
      <c r="D16" s="5">
        <v>0.39</v>
      </c>
    </row>
    <row r="17" spans="1:4">
      <c r="A17" s="17">
        <v>46037</v>
      </c>
      <c r="B17" s="22">
        <v>48.85</v>
      </c>
      <c r="C17" s="23">
        <v>572360</v>
      </c>
      <c r="D17" s="5">
        <v>-0.27</v>
      </c>
    </row>
    <row r="18" spans="1:4">
      <c r="A18" s="17">
        <v>46036</v>
      </c>
      <c r="B18" s="22">
        <v>48.98</v>
      </c>
      <c r="C18" s="23">
        <v>1010000</v>
      </c>
      <c r="D18" s="5">
        <v>-1.94</v>
      </c>
    </row>
    <row r="19" spans="1:4">
      <c r="A19" s="17">
        <v>46035</v>
      </c>
      <c r="B19" s="22">
        <v>49.95</v>
      </c>
      <c r="C19" s="23">
        <v>1410000</v>
      </c>
      <c r="D19" s="5">
        <v>4.21</v>
      </c>
    </row>
    <row r="20" spans="1:4">
      <c r="A20" s="17">
        <v>46034</v>
      </c>
      <c r="B20" s="22">
        <v>47.93</v>
      </c>
      <c r="C20" s="23">
        <v>887260</v>
      </c>
      <c r="D20" s="5">
        <v>3.81</v>
      </c>
    </row>
    <row r="21" spans="1:4">
      <c r="A21" s="17">
        <v>46031</v>
      </c>
      <c r="B21" s="22">
        <v>46.17</v>
      </c>
      <c r="C21" s="23">
        <v>655020</v>
      </c>
      <c r="D21" s="5">
        <v>2.0099999999999998</v>
      </c>
    </row>
    <row r="22" spans="1:4">
      <c r="A22" s="17">
        <v>46030</v>
      </c>
      <c r="B22" s="22">
        <v>45.26</v>
      </c>
      <c r="C22" s="23">
        <v>849780</v>
      </c>
      <c r="D22" s="5">
        <v>3.14</v>
      </c>
    </row>
    <row r="23" spans="1:4">
      <c r="A23" s="17">
        <v>46029</v>
      </c>
      <c r="B23" s="22">
        <v>43.88</v>
      </c>
      <c r="C23" s="23">
        <v>1490000</v>
      </c>
      <c r="D23" s="5">
        <v>-4.38</v>
      </c>
    </row>
    <row r="24" spans="1:4">
      <c r="A24" s="17">
        <v>46028</v>
      </c>
      <c r="B24" s="22">
        <v>45.89</v>
      </c>
      <c r="C24" s="23">
        <v>746470</v>
      </c>
      <c r="D24" s="5">
        <v>-2.92</v>
      </c>
    </row>
    <row r="25" spans="1:4">
      <c r="A25" s="17">
        <v>46027</v>
      </c>
      <c r="B25" s="22">
        <v>47.27</v>
      </c>
      <c r="C25" s="23">
        <v>1540000</v>
      </c>
      <c r="D25" s="5">
        <v>-3.16</v>
      </c>
    </row>
    <row r="26" spans="1:4">
      <c r="A26" s="17">
        <v>46024</v>
      </c>
      <c r="B26" s="22">
        <v>48.81</v>
      </c>
      <c r="C26" s="23">
        <v>505130</v>
      </c>
      <c r="D26" s="5">
        <v>0.31</v>
      </c>
    </row>
    <row r="27" spans="1:4">
      <c r="A27" s="17">
        <v>46022</v>
      </c>
      <c r="B27" s="22">
        <v>48.66</v>
      </c>
      <c r="C27" s="23">
        <v>391350</v>
      </c>
      <c r="D27" s="5">
        <v>0.39</v>
      </c>
    </row>
    <row r="28" spans="1:4">
      <c r="A28" s="17">
        <v>46021</v>
      </c>
      <c r="B28" s="22">
        <v>48.47</v>
      </c>
      <c r="C28" s="23">
        <v>297110</v>
      </c>
      <c r="D28" s="5">
        <v>1.1499999999999999</v>
      </c>
    </row>
    <row r="29" spans="1:4">
      <c r="A29" s="17">
        <v>46020</v>
      </c>
      <c r="B29" s="22">
        <v>47.92</v>
      </c>
      <c r="C29" s="23">
        <v>479470</v>
      </c>
      <c r="D29" s="5">
        <v>0.97</v>
      </c>
    </row>
    <row r="30" spans="1:4">
      <c r="A30" s="17">
        <v>46017</v>
      </c>
      <c r="B30" s="22">
        <v>47.46</v>
      </c>
      <c r="C30" s="23">
        <v>553510</v>
      </c>
      <c r="D30" s="5">
        <v>0.36</v>
      </c>
    </row>
    <row r="31" spans="1:4">
      <c r="A31" s="17">
        <v>46015</v>
      </c>
      <c r="B31" s="22">
        <v>47.29</v>
      </c>
      <c r="C31" s="23">
        <v>117460</v>
      </c>
      <c r="D31" s="5">
        <v>0.32</v>
      </c>
    </row>
    <row r="32" spans="1:4">
      <c r="A32" s="17">
        <v>46014</v>
      </c>
      <c r="B32" s="22">
        <v>47.14</v>
      </c>
      <c r="C32" s="23">
        <v>423960</v>
      </c>
      <c r="D32" s="5">
        <v>1.2</v>
      </c>
    </row>
    <row r="33" spans="1:4">
      <c r="A33" s="17">
        <v>46013</v>
      </c>
      <c r="B33" s="22">
        <v>46.58</v>
      </c>
      <c r="C33" s="23">
        <v>619410</v>
      </c>
      <c r="D33" s="5">
        <v>0.41</v>
      </c>
    </row>
    <row r="34" spans="1:4">
      <c r="A34" s="17">
        <v>46010</v>
      </c>
      <c r="B34" s="22">
        <v>46.39</v>
      </c>
      <c r="C34" s="23">
        <v>514980</v>
      </c>
      <c r="D34" s="5">
        <v>0.15</v>
      </c>
    </row>
    <row r="35" spans="1:4">
      <c r="A35" s="17">
        <v>46009</v>
      </c>
      <c r="B35" s="22">
        <v>46.32</v>
      </c>
      <c r="C35" s="23">
        <v>981400</v>
      </c>
      <c r="D35" s="5">
        <v>0.92</v>
      </c>
    </row>
    <row r="36" spans="1:4">
      <c r="A36" s="17">
        <v>46008</v>
      </c>
      <c r="B36" s="22">
        <v>45.9</v>
      </c>
      <c r="C36" s="23">
        <v>843510</v>
      </c>
      <c r="D36" s="5">
        <v>-1.94</v>
      </c>
    </row>
    <row r="37" spans="1:4">
      <c r="A37" s="17">
        <v>46007</v>
      </c>
      <c r="B37" s="22">
        <v>46.81</v>
      </c>
      <c r="C37" s="23">
        <v>866690</v>
      </c>
      <c r="D37" s="5">
        <v>-4.99</v>
      </c>
    </row>
    <row r="38" spans="1:4">
      <c r="A38" s="17">
        <v>46006</v>
      </c>
      <c r="B38" s="22">
        <v>49.27</v>
      </c>
      <c r="C38" s="23">
        <v>425630</v>
      </c>
      <c r="D38" s="5">
        <v>-0.38</v>
      </c>
    </row>
    <row r="39" spans="1:4">
      <c r="A39" s="17">
        <v>46003</v>
      </c>
      <c r="B39" s="22">
        <v>49.46</v>
      </c>
      <c r="C39" s="23">
        <v>386450</v>
      </c>
      <c r="D39" s="5">
        <v>-0.92</v>
      </c>
    </row>
    <row r="40" spans="1:4">
      <c r="A40" s="17">
        <v>46002</v>
      </c>
      <c r="B40" s="22">
        <v>49.92</v>
      </c>
      <c r="C40" s="23">
        <v>673070</v>
      </c>
      <c r="D40" s="5">
        <v>-2.94</v>
      </c>
    </row>
    <row r="41" spans="1:4">
      <c r="A41" s="17">
        <v>46001</v>
      </c>
      <c r="B41" s="22">
        <v>51.43</v>
      </c>
      <c r="C41" s="23">
        <v>558260</v>
      </c>
      <c r="D41" s="5">
        <v>0.55000000000000004</v>
      </c>
    </row>
    <row r="42" spans="1:4">
      <c r="A42" s="17">
        <v>46000</v>
      </c>
      <c r="B42" s="22">
        <v>51.15</v>
      </c>
      <c r="C42" s="23">
        <v>418330</v>
      </c>
      <c r="D42" s="5">
        <v>0.49</v>
      </c>
    </row>
    <row r="43" spans="1:4">
      <c r="A43" s="17">
        <v>45999</v>
      </c>
      <c r="B43" s="22">
        <v>50.9</v>
      </c>
      <c r="C43" s="23">
        <v>358800</v>
      </c>
      <c r="D43" s="5">
        <v>0.04</v>
      </c>
    </row>
    <row r="44" spans="1:4">
      <c r="A44" s="17">
        <v>45996</v>
      </c>
      <c r="B44" s="22">
        <v>50.88</v>
      </c>
      <c r="C44" s="23">
        <v>1130000</v>
      </c>
      <c r="D44" s="5">
        <v>-1.76</v>
      </c>
    </row>
    <row r="45" spans="1:4">
      <c r="A45" s="17">
        <v>45995</v>
      </c>
      <c r="B45" s="22">
        <v>51.79</v>
      </c>
      <c r="C45" s="23">
        <v>1120000</v>
      </c>
      <c r="D45" s="5">
        <v>-2.83</v>
      </c>
    </row>
    <row r="46" spans="1:4">
      <c r="A46" s="17">
        <v>45994</v>
      </c>
      <c r="B46" s="22">
        <v>53.3</v>
      </c>
      <c r="C46" s="23">
        <v>1410000</v>
      </c>
      <c r="D46" s="5">
        <v>6.62</v>
      </c>
    </row>
    <row r="47" spans="1:4">
      <c r="A47" s="17">
        <v>45993</v>
      </c>
      <c r="B47" s="22">
        <v>49.99</v>
      </c>
      <c r="C47" s="23">
        <v>876310</v>
      </c>
      <c r="D47" s="5">
        <v>1.83</v>
      </c>
    </row>
    <row r="48" spans="1:4">
      <c r="A48" s="17">
        <v>45992</v>
      </c>
      <c r="B48" s="22">
        <v>49.09</v>
      </c>
      <c r="C48" s="23">
        <v>561620</v>
      </c>
      <c r="D48" s="5">
        <v>-0.14000000000000001</v>
      </c>
    </row>
    <row r="49" spans="1:4">
      <c r="A49" s="17">
        <v>45989</v>
      </c>
      <c r="B49" s="22">
        <v>49.16</v>
      </c>
      <c r="C49" s="23">
        <v>522070.00000000012</v>
      </c>
      <c r="D49" s="5">
        <v>1.3</v>
      </c>
    </row>
    <row r="50" spans="1:4">
      <c r="A50" s="17">
        <v>45987</v>
      </c>
      <c r="B50" s="22">
        <v>48.53</v>
      </c>
      <c r="C50" s="23">
        <v>1120000</v>
      </c>
      <c r="D50" s="5">
        <v>2.41</v>
      </c>
    </row>
    <row r="51" spans="1:4">
      <c r="A51" s="17">
        <v>45986</v>
      </c>
      <c r="B51" s="22">
        <v>47.39</v>
      </c>
      <c r="C51" s="23">
        <v>942950</v>
      </c>
      <c r="D51" s="5">
        <v>-1.7</v>
      </c>
    </row>
    <row r="52" spans="1:4">
      <c r="A52" s="17">
        <v>45985</v>
      </c>
      <c r="B52" s="22">
        <v>48.21</v>
      </c>
      <c r="C52" s="23">
        <v>686380</v>
      </c>
      <c r="D52" s="5">
        <v>0</v>
      </c>
    </row>
    <row r="53" spans="1:4">
      <c r="A53" s="17">
        <v>45982</v>
      </c>
      <c r="B53" s="22">
        <v>48.21</v>
      </c>
      <c r="C53" s="23">
        <v>885010</v>
      </c>
      <c r="D53" s="5">
        <v>-3.43</v>
      </c>
    </row>
    <row r="54" spans="1:4">
      <c r="A54" s="17">
        <v>45981</v>
      </c>
      <c r="B54" s="22">
        <v>49.92</v>
      </c>
      <c r="C54" s="23">
        <v>1050000</v>
      </c>
      <c r="D54" s="5">
        <v>-2.27</v>
      </c>
    </row>
    <row r="55" spans="1:4">
      <c r="A55" s="17">
        <v>45980</v>
      </c>
      <c r="B55" s="22">
        <v>51.08</v>
      </c>
      <c r="C55" s="23">
        <v>1120000</v>
      </c>
      <c r="D55" s="5">
        <v>2.2799999999999998</v>
      </c>
    </row>
    <row r="56" spans="1:4">
      <c r="A56" s="17">
        <v>45979</v>
      </c>
      <c r="B56" s="22">
        <v>49.94</v>
      </c>
      <c r="C56" s="23">
        <v>964370</v>
      </c>
      <c r="D56" s="5">
        <v>1.86</v>
      </c>
    </row>
    <row r="57" spans="1:4">
      <c r="A57" s="17">
        <v>45978</v>
      </c>
      <c r="B57" s="22">
        <v>49.03</v>
      </c>
      <c r="C57" s="23">
        <v>745470</v>
      </c>
      <c r="D57" s="5">
        <v>0.39</v>
      </c>
    </row>
    <row r="58" spans="1:4">
      <c r="A58" s="17">
        <v>45975</v>
      </c>
      <c r="B58" s="22">
        <v>48.84</v>
      </c>
      <c r="C58" s="23">
        <v>1140000</v>
      </c>
      <c r="D58" s="5">
        <v>2.71</v>
      </c>
    </row>
    <row r="59" spans="1:4">
      <c r="A59" s="17">
        <v>45974</v>
      </c>
      <c r="B59" s="22">
        <v>47.55</v>
      </c>
      <c r="C59" s="23">
        <v>1410000</v>
      </c>
      <c r="D59" s="5">
        <v>-3.96</v>
      </c>
    </row>
    <row r="60" spans="1:4">
      <c r="A60" s="17">
        <v>45973</v>
      </c>
      <c r="B60" s="22">
        <v>49.51</v>
      </c>
      <c r="C60" s="23">
        <v>1940000</v>
      </c>
      <c r="D60" s="5">
        <v>-2.65</v>
      </c>
    </row>
    <row r="61" spans="1:4">
      <c r="A61" s="17">
        <v>45972</v>
      </c>
      <c r="B61" s="22">
        <v>50.86</v>
      </c>
      <c r="C61" s="23">
        <v>1820000</v>
      </c>
      <c r="D61" s="5">
        <v>3.58</v>
      </c>
    </row>
    <row r="62" spans="1:4">
      <c r="A62" s="17">
        <v>45971</v>
      </c>
      <c r="B62" s="22">
        <v>49.1</v>
      </c>
      <c r="C62" s="23">
        <v>899120</v>
      </c>
      <c r="D62" s="5">
        <v>2.08</v>
      </c>
    </row>
    <row r="63" spans="1:4">
      <c r="A63" s="17">
        <v>45968</v>
      </c>
      <c r="B63" s="22">
        <v>48.1</v>
      </c>
      <c r="C63" s="23">
        <v>993690</v>
      </c>
      <c r="D63" s="5">
        <v>-0.43</v>
      </c>
    </row>
    <row r="64" spans="1:4">
      <c r="A64" s="17">
        <v>45967</v>
      </c>
      <c r="B64" s="22">
        <v>48.31</v>
      </c>
      <c r="C64" s="23">
        <v>561600</v>
      </c>
      <c r="D64" s="5">
        <v>-0.56000000000000005</v>
      </c>
    </row>
    <row r="65" spans="1:4">
      <c r="A65" s="17">
        <v>45966</v>
      </c>
      <c r="B65" s="22">
        <v>48.58</v>
      </c>
      <c r="C65" s="23">
        <v>1040000</v>
      </c>
      <c r="D65" s="5">
        <v>0</v>
      </c>
    </row>
    <row r="66" spans="1:4">
      <c r="A66" s="17">
        <v>45965</v>
      </c>
      <c r="B66" s="22">
        <v>48.58</v>
      </c>
      <c r="C66" s="23">
        <v>1090000</v>
      </c>
      <c r="D66" s="5">
        <v>-1.02</v>
      </c>
    </row>
    <row r="67" spans="1:4">
      <c r="A67" s="17">
        <v>45964</v>
      </c>
      <c r="B67" s="22">
        <v>49.08</v>
      </c>
      <c r="C67" s="23">
        <v>1540000</v>
      </c>
      <c r="D67" s="5">
        <v>1.3</v>
      </c>
    </row>
    <row r="68" spans="1:4">
      <c r="A68" s="17">
        <v>45961</v>
      </c>
      <c r="B68" s="22">
        <v>48.45</v>
      </c>
      <c r="C68" s="23">
        <v>1520000</v>
      </c>
      <c r="D68" s="5">
        <v>2.67</v>
      </c>
    </row>
    <row r="69" spans="1:4">
      <c r="A69" s="17">
        <v>45960</v>
      </c>
      <c r="B69" s="22">
        <v>47.19</v>
      </c>
      <c r="C69" s="23">
        <v>1060000</v>
      </c>
      <c r="D69" s="5">
        <v>-2.58</v>
      </c>
    </row>
    <row r="70" spans="1:4">
      <c r="A70" s="17">
        <v>45959</v>
      </c>
      <c r="B70" s="22">
        <v>48.44</v>
      </c>
      <c r="C70" s="23">
        <v>2130000</v>
      </c>
      <c r="D70" s="5">
        <v>1.98</v>
      </c>
    </row>
    <row r="71" spans="1:4">
      <c r="A71" s="17">
        <v>45958</v>
      </c>
      <c r="B71" s="22">
        <v>47.5</v>
      </c>
      <c r="C71" s="23">
        <v>2140000</v>
      </c>
      <c r="D71" s="5">
        <v>0</v>
      </c>
    </row>
    <row r="72" spans="1:4">
      <c r="A72" s="17">
        <v>45957</v>
      </c>
      <c r="B72" s="22">
        <v>47.5</v>
      </c>
      <c r="C72" s="23">
        <v>8090000</v>
      </c>
      <c r="D72" s="5">
        <v>18.66</v>
      </c>
    </row>
    <row r="73" spans="1:4">
      <c r="A73" s="17">
        <v>45954</v>
      </c>
      <c r="B73" s="22">
        <v>40.03</v>
      </c>
      <c r="C73" s="23">
        <v>2100000</v>
      </c>
      <c r="D73" s="5">
        <v>0.73</v>
      </c>
    </row>
    <row r="74" spans="1:4">
      <c r="A74" s="17">
        <v>45953</v>
      </c>
      <c r="B74" s="22">
        <v>39.74</v>
      </c>
      <c r="C74" s="23">
        <v>3790000</v>
      </c>
      <c r="D74" s="5">
        <v>11.47</v>
      </c>
    </row>
    <row r="75" spans="1:4">
      <c r="A75" s="17">
        <v>45952</v>
      </c>
      <c r="B75" s="22">
        <v>35.65</v>
      </c>
      <c r="C75" s="23">
        <v>1400000</v>
      </c>
      <c r="D75" s="5">
        <v>1.8</v>
      </c>
    </row>
    <row r="76" spans="1:4">
      <c r="A76" s="17">
        <v>45951</v>
      </c>
      <c r="B76" s="22">
        <v>35.020000000000003</v>
      </c>
      <c r="C76" s="23">
        <v>864280</v>
      </c>
      <c r="D76" s="5">
        <v>-0.4</v>
      </c>
    </row>
    <row r="77" spans="1:4">
      <c r="A77" s="17">
        <v>45950</v>
      </c>
      <c r="B77" s="22">
        <v>35.159999999999997</v>
      </c>
      <c r="C77" s="23">
        <v>710450</v>
      </c>
      <c r="D77" s="5">
        <v>-0.73</v>
      </c>
    </row>
    <row r="78" spans="1:4">
      <c r="A78" s="17">
        <v>45947</v>
      </c>
      <c r="B78" s="22">
        <v>35.42</v>
      </c>
      <c r="C78" s="23">
        <v>634710</v>
      </c>
      <c r="D78" s="5">
        <v>-0.59</v>
      </c>
    </row>
    <row r="79" spans="1:4">
      <c r="A79" s="17">
        <v>45946</v>
      </c>
      <c r="B79" s="22">
        <v>35.630000000000003</v>
      </c>
      <c r="C79" s="23">
        <v>708970</v>
      </c>
      <c r="D79" s="5">
        <v>-0.86</v>
      </c>
    </row>
    <row r="80" spans="1:4">
      <c r="A80" s="17">
        <v>45945</v>
      </c>
      <c r="B80" s="22">
        <v>35.94</v>
      </c>
      <c r="C80" s="23">
        <v>1210000</v>
      </c>
      <c r="D80" s="5">
        <v>2.16</v>
      </c>
    </row>
    <row r="81" spans="1:4">
      <c r="A81" s="17">
        <v>45944</v>
      </c>
      <c r="B81" s="22">
        <v>35.18</v>
      </c>
      <c r="C81" s="23">
        <v>2120000</v>
      </c>
      <c r="D81" s="5">
        <v>-7.79</v>
      </c>
    </row>
    <row r="82" spans="1:4">
      <c r="A82" s="17">
        <v>45943</v>
      </c>
      <c r="B82" s="22">
        <v>38.15</v>
      </c>
      <c r="C82" s="23">
        <v>1090000</v>
      </c>
      <c r="D82" s="5">
        <v>2.66</v>
      </c>
    </row>
    <row r="83" spans="1:4">
      <c r="A83" s="17">
        <v>45940</v>
      </c>
      <c r="B83" s="22">
        <v>37.159999999999997</v>
      </c>
      <c r="C83" s="23">
        <v>3100000</v>
      </c>
      <c r="D83" s="5">
        <v>-0.3</v>
      </c>
    </row>
    <row r="84" spans="1:4">
      <c r="A84" s="17">
        <v>45939</v>
      </c>
      <c r="B84" s="22">
        <v>37.270000000000003</v>
      </c>
      <c r="C84" s="23">
        <v>1780000</v>
      </c>
      <c r="D84" s="5">
        <v>6.88</v>
      </c>
    </row>
    <row r="85" spans="1:4">
      <c r="A85" s="17">
        <v>45938</v>
      </c>
      <c r="B85" s="22">
        <v>34.869999999999997</v>
      </c>
      <c r="C85" s="23">
        <v>873730</v>
      </c>
      <c r="D85" s="5">
        <v>1.04</v>
      </c>
    </row>
    <row r="86" spans="1:4">
      <c r="A86" s="17">
        <v>45937</v>
      </c>
      <c r="B86" s="22">
        <v>34.51</v>
      </c>
      <c r="C86" s="23">
        <v>1030000</v>
      </c>
      <c r="D86" s="5">
        <v>-2.82</v>
      </c>
    </row>
    <row r="87" spans="1:4">
      <c r="A87" s="17">
        <v>45936</v>
      </c>
      <c r="B87" s="22">
        <v>35.51</v>
      </c>
      <c r="C87" s="23">
        <v>896520</v>
      </c>
      <c r="D87" s="5">
        <v>2.84</v>
      </c>
    </row>
    <row r="88" spans="1:4">
      <c r="A88" s="17">
        <v>45933</v>
      </c>
      <c r="B88" s="22">
        <v>34.53</v>
      </c>
      <c r="C88" s="23">
        <v>1230000</v>
      </c>
      <c r="D88" s="5">
        <v>0.67</v>
      </c>
    </row>
    <row r="89" spans="1:4">
      <c r="A89" s="17">
        <v>45932</v>
      </c>
      <c r="B89" s="22">
        <v>34.299999999999997</v>
      </c>
      <c r="C89" s="23">
        <v>2250000</v>
      </c>
      <c r="D89" s="5">
        <v>1.75</v>
      </c>
    </row>
    <row r="90" spans="1:4">
      <c r="A90" s="17">
        <v>45931</v>
      </c>
      <c r="B90" s="22">
        <v>33.71</v>
      </c>
      <c r="C90" s="23">
        <v>1270000</v>
      </c>
      <c r="D90" s="5">
        <v>-2.0099999999999998</v>
      </c>
    </row>
    <row r="91" spans="1:4">
      <c r="A91" s="17">
        <v>45930</v>
      </c>
      <c r="B91" s="22">
        <v>34.4</v>
      </c>
      <c r="C91" s="23">
        <v>1500000</v>
      </c>
      <c r="D91" s="5">
        <v>-2.82</v>
      </c>
    </row>
    <row r="92" spans="1:4">
      <c r="A92" s="17">
        <v>45929</v>
      </c>
      <c r="B92" s="22">
        <v>35.4</v>
      </c>
      <c r="C92" s="23">
        <v>988650</v>
      </c>
      <c r="D92" s="5">
        <v>-2.13</v>
      </c>
    </row>
    <row r="93" spans="1:4">
      <c r="A93" s="17">
        <v>45926</v>
      </c>
      <c r="B93" s="22">
        <v>36.17</v>
      </c>
      <c r="C93" s="23">
        <v>1240000</v>
      </c>
      <c r="D93" s="5">
        <v>-2.3199999999999998</v>
      </c>
    </row>
    <row r="94" spans="1:4">
      <c r="A94" s="17">
        <v>45925</v>
      </c>
      <c r="B94" s="22">
        <v>37.03</v>
      </c>
      <c r="C94" s="23">
        <v>966560</v>
      </c>
      <c r="D94" s="5">
        <v>-2.68</v>
      </c>
    </row>
    <row r="95" spans="1:4">
      <c r="A95" s="17">
        <v>45924</v>
      </c>
      <c r="B95" s="22">
        <v>38.049999999999997</v>
      </c>
      <c r="C95" s="23">
        <v>1770000</v>
      </c>
      <c r="D95" s="5">
        <v>1.9</v>
      </c>
    </row>
    <row r="96" spans="1:4">
      <c r="A96" s="17">
        <v>45923</v>
      </c>
      <c r="B96" s="22">
        <v>37.340000000000003</v>
      </c>
      <c r="C96" s="23">
        <v>1890000</v>
      </c>
      <c r="D96" s="5">
        <v>2.27</v>
      </c>
    </row>
    <row r="97" spans="1:4">
      <c r="A97" s="17">
        <v>45922</v>
      </c>
      <c r="B97" s="22">
        <v>36.51</v>
      </c>
      <c r="C97" s="23">
        <v>2430000</v>
      </c>
      <c r="D97" s="5">
        <v>8.34</v>
      </c>
    </row>
    <row r="98" spans="1:4">
      <c r="A98" s="17">
        <v>45919</v>
      </c>
      <c r="B98" s="22">
        <v>33.700000000000003</v>
      </c>
      <c r="C98" s="23">
        <v>2060000</v>
      </c>
      <c r="D98" s="5">
        <v>-2.99</v>
      </c>
    </row>
    <row r="99" spans="1:4">
      <c r="A99" s="17">
        <v>45918</v>
      </c>
      <c r="B99" s="22">
        <v>34.74</v>
      </c>
      <c r="C99" s="23">
        <v>2130000</v>
      </c>
      <c r="D99" s="5">
        <v>-5.26</v>
      </c>
    </row>
    <row r="100" spans="1:4">
      <c r="A100" s="17">
        <v>45917</v>
      </c>
      <c r="B100" s="22">
        <v>36.67</v>
      </c>
      <c r="C100" s="23">
        <v>928850</v>
      </c>
      <c r="D100" s="5">
        <v>0.05</v>
      </c>
    </row>
    <row r="101" spans="1:4">
      <c r="A101" s="17">
        <v>45916</v>
      </c>
      <c r="B101" s="22">
        <v>36.65</v>
      </c>
      <c r="C101" s="23">
        <v>810610</v>
      </c>
      <c r="D101" s="5">
        <v>3.47</v>
      </c>
    </row>
    <row r="102" spans="1:4">
      <c r="A102" s="17">
        <v>45915</v>
      </c>
      <c r="B102" s="22">
        <v>35.42</v>
      </c>
      <c r="C102" s="23">
        <v>1000000</v>
      </c>
      <c r="D102" s="5">
        <v>-0.81</v>
      </c>
    </row>
    <row r="103" spans="1:4">
      <c r="A103" s="17">
        <v>45912</v>
      </c>
      <c r="B103" s="22">
        <v>35.71</v>
      </c>
      <c r="C103" s="23">
        <v>890100</v>
      </c>
      <c r="D103" s="5">
        <v>-4.16</v>
      </c>
    </row>
    <row r="104" spans="1:4">
      <c r="A104" s="17">
        <v>45911</v>
      </c>
      <c r="B104" s="22">
        <v>37.26</v>
      </c>
      <c r="C104" s="23">
        <v>1280000</v>
      </c>
      <c r="D104" s="5">
        <v>-2.38</v>
      </c>
    </row>
    <row r="105" spans="1:4">
      <c r="A105" s="17">
        <v>45910</v>
      </c>
      <c r="B105" s="22">
        <v>38.17</v>
      </c>
      <c r="C105" s="23">
        <v>1800000</v>
      </c>
      <c r="D105" s="5">
        <v>7.07</v>
      </c>
    </row>
    <row r="106" spans="1:4">
      <c r="A106" s="17">
        <v>45909</v>
      </c>
      <c r="B106" s="22">
        <v>35.65</v>
      </c>
      <c r="C106" s="23">
        <v>1520000</v>
      </c>
      <c r="D106" s="5">
        <v>1.92</v>
      </c>
    </row>
    <row r="107" spans="1:4">
      <c r="A107" s="17">
        <v>45908</v>
      </c>
      <c r="B107" s="22">
        <v>34.979999999999997</v>
      </c>
      <c r="C107" s="23">
        <v>5010000</v>
      </c>
      <c r="D107" s="5">
        <v>-8.14</v>
      </c>
    </row>
    <row r="108" spans="1:4">
      <c r="A108" s="17">
        <v>45905</v>
      </c>
      <c r="B108" s="22">
        <v>38.08</v>
      </c>
      <c r="C108" s="23">
        <v>1710000</v>
      </c>
      <c r="D108" s="5">
        <v>-2.1800000000000002</v>
      </c>
    </row>
    <row r="109" spans="1:4">
      <c r="A109" s="17">
        <v>45904</v>
      </c>
      <c r="B109" s="22">
        <v>38.93</v>
      </c>
      <c r="C109" s="23">
        <v>1270000</v>
      </c>
      <c r="D109" s="5">
        <v>1.94</v>
      </c>
    </row>
    <row r="110" spans="1:4">
      <c r="A110" s="17">
        <v>45903</v>
      </c>
      <c r="B110" s="22">
        <v>38.19</v>
      </c>
      <c r="C110" s="23">
        <v>1250000</v>
      </c>
      <c r="D110" s="5">
        <v>-2.6</v>
      </c>
    </row>
    <row r="111" spans="1:4">
      <c r="A111" s="17">
        <v>45902</v>
      </c>
      <c r="B111" s="22">
        <v>39.21</v>
      </c>
      <c r="C111" s="23">
        <v>1170000</v>
      </c>
      <c r="D111" s="5">
        <v>0.59</v>
      </c>
    </row>
    <row r="112" spans="1:4">
      <c r="A112" s="17">
        <v>45898</v>
      </c>
      <c r="B112" s="22">
        <v>38.979999999999997</v>
      </c>
      <c r="C112" s="23">
        <v>644380</v>
      </c>
      <c r="D112" s="5">
        <v>-1.32</v>
      </c>
    </row>
    <row r="113" spans="1:4">
      <c r="A113" s="17">
        <v>45897</v>
      </c>
      <c r="B113" s="22">
        <v>39.5</v>
      </c>
      <c r="C113" s="23">
        <v>746070</v>
      </c>
      <c r="D113" s="5">
        <v>1.39</v>
      </c>
    </row>
    <row r="114" spans="1:4">
      <c r="A114" s="17">
        <v>45896</v>
      </c>
      <c r="B114" s="22">
        <v>38.96</v>
      </c>
      <c r="C114" s="23">
        <v>1010000</v>
      </c>
      <c r="D114" s="5">
        <v>-0.97</v>
      </c>
    </row>
    <row r="115" spans="1:4">
      <c r="A115" s="17">
        <v>45895</v>
      </c>
      <c r="B115" s="22">
        <v>39.340000000000003</v>
      </c>
      <c r="C115" s="23">
        <v>1300000</v>
      </c>
      <c r="D115" s="5">
        <v>1.1599999999999999</v>
      </c>
    </row>
    <row r="116" spans="1:4">
      <c r="A116" s="17">
        <v>45894</v>
      </c>
      <c r="B116" s="22">
        <v>38.89</v>
      </c>
      <c r="C116" s="23">
        <v>1220000</v>
      </c>
      <c r="D116" s="5">
        <v>-3.57</v>
      </c>
    </row>
    <row r="117" spans="1:4">
      <c r="A117" s="17">
        <v>45891</v>
      </c>
      <c r="B117" s="22">
        <v>40.33</v>
      </c>
      <c r="C117" s="23">
        <v>1070000</v>
      </c>
      <c r="D117" s="5">
        <v>-0.4</v>
      </c>
    </row>
    <row r="118" spans="1:4">
      <c r="A118" s="17">
        <v>45890</v>
      </c>
      <c r="B118" s="22">
        <v>40.49</v>
      </c>
      <c r="C118" s="23">
        <v>689570</v>
      </c>
      <c r="D118" s="5">
        <v>0.65</v>
      </c>
    </row>
    <row r="119" spans="1:4">
      <c r="A119" s="17">
        <v>45889</v>
      </c>
      <c r="B119" s="22">
        <v>40.229999999999997</v>
      </c>
      <c r="C119" s="23">
        <v>1080000</v>
      </c>
      <c r="D119" s="5">
        <v>0.27</v>
      </c>
    </row>
    <row r="120" spans="1:4">
      <c r="A120" s="17">
        <v>45888</v>
      </c>
      <c r="B120" s="22">
        <v>40.119999999999997</v>
      </c>
      <c r="C120" s="23">
        <v>907060</v>
      </c>
      <c r="D120" s="5">
        <v>-3.79</v>
      </c>
    </row>
    <row r="121" spans="1:4">
      <c r="A121" s="17">
        <v>45887</v>
      </c>
      <c r="B121" s="22">
        <v>41.7</v>
      </c>
      <c r="C121" s="23">
        <v>945680</v>
      </c>
      <c r="D121" s="5">
        <v>0.48</v>
      </c>
    </row>
    <row r="122" spans="1:4">
      <c r="A122" s="17">
        <v>45884</v>
      </c>
      <c r="B122" s="22">
        <v>41.5</v>
      </c>
      <c r="C122" s="23">
        <v>550870</v>
      </c>
      <c r="D122" s="5">
        <v>0.19</v>
      </c>
    </row>
    <row r="123" spans="1:4">
      <c r="A123" s="17">
        <v>45883</v>
      </c>
      <c r="B123" s="22">
        <v>41.42</v>
      </c>
      <c r="C123" s="23">
        <v>1180000</v>
      </c>
      <c r="D123" s="5">
        <v>-3.99</v>
      </c>
    </row>
    <row r="124" spans="1:4">
      <c r="A124" s="17">
        <v>45882</v>
      </c>
      <c r="B124" s="22">
        <v>43.14</v>
      </c>
      <c r="C124" s="23">
        <v>524980</v>
      </c>
      <c r="D124" s="5">
        <v>1.55</v>
      </c>
    </row>
    <row r="125" spans="1:4">
      <c r="A125" s="17">
        <v>45881</v>
      </c>
      <c r="B125" s="22">
        <v>42.48</v>
      </c>
      <c r="C125" s="23">
        <v>1030000</v>
      </c>
      <c r="D125" s="5">
        <v>-1.1399999999999999</v>
      </c>
    </row>
    <row r="126" spans="1:4">
      <c r="A126" s="17">
        <v>45880</v>
      </c>
      <c r="B126" s="22">
        <v>42.97</v>
      </c>
      <c r="C126" s="23">
        <v>677680</v>
      </c>
      <c r="D126" s="5">
        <v>1.32</v>
      </c>
    </row>
    <row r="127" spans="1:4">
      <c r="A127" s="17">
        <v>45877</v>
      </c>
      <c r="B127" s="22">
        <v>42.41</v>
      </c>
      <c r="C127" s="23">
        <v>1380000</v>
      </c>
      <c r="D127" s="5">
        <v>-4.8</v>
      </c>
    </row>
    <row r="128" spans="1:4">
      <c r="A128" s="17">
        <v>45876</v>
      </c>
      <c r="B128" s="22">
        <v>44.55</v>
      </c>
      <c r="C128" s="23">
        <v>775710</v>
      </c>
      <c r="D128" s="5">
        <v>-2.35</v>
      </c>
    </row>
    <row r="129" spans="1:4">
      <c r="A129" s="17">
        <v>45875</v>
      </c>
      <c r="B129" s="22">
        <v>45.62</v>
      </c>
      <c r="C129" s="23">
        <v>718650</v>
      </c>
      <c r="D129" s="5">
        <v>1.51</v>
      </c>
    </row>
    <row r="130" spans="1:4">
      <c r="A130" s="17">
        <v>45874</v>
      </c>
      <c r="B130" s="22">
        <v>44.94</v>
      </c>
      <c r="C130" s="23">
        <v>557110</v>
      </c>
      <c r="D130" s="5">
        <v>1.93</v>
      </c>
    </row>
    <row r="131" spans="1:4">
      <c r="A131" s="17">
        <v>45873</v>
      </c>
      <c r="B131" s="22">
        <v>44.09</v>
      </c>
      <c r="C131" s="23">
        <v>620480</v>
      </c>
      <c r="D131" s="5">
        <v>1.8</v>
      </c>
    </row>
    <row r="132" spans="1:4">
      <c r="A132" s="17">
        <v>45870</v>
      </c>
      <c r="B132" s="22">
        <v>43.31</v>
      </c>
      <c r="C132" s="23">
        <v>2000000</v>
      </c>
      <c r="D132" s="5">
        <v>-3.11</v>
      </c>
    </row>
    <row r="133" spans="1:4">
      <c r="A133" s="17">
        <v>45869</v>
      </c>
      <c r="B133" s="22">
        <v>44.7</v>
      </c>
      <c r="C133" s="23">
        <v>1490000</v>
      </c>
      <c r="D133" s="5">
        <v>-1.63</v>
      </c>
    </row>
    <row r="134" spans="1:4">
      <c r="A134" s="17">
        <v>45868</v>
      </c>
      <c r="B134" s="22">
        <v>45.44</v>
      </c>
      <c r="C134" s="23">
        <v>1210000</v>
      </c>
      <c r="D134" s="5">
        <v>-1.5</v>
      </c>
    </row>
    <row r="135" spans="1:4">
      <c r="A135" s="17">
        <v>45867</v>
      </c>
      <c r="B135" s="22">
        <v>46.13</v>
      </c>
      <c r="C135" s="23">
        <v>1130000</v>
      </c>
      <c r="D135" s="5">
        <v>5.73</v>
      </c>
    </row>
    <row r="136" spans="1:4">
      <c r="A136" s="17">
        <v>45866</v>
      </c>
      <c r="B136" s="22">
        <v>43.63</v>
      </c>
      <c r="C136" s="23">
        <v>870110</v>
      </c>
      <c r="D136" s="5">
        <v>-1.96</v>
      </c>
    </row>
    <row r="137" spans="1:4">
      <c r="A137" s="17">
        <v>45863</v>
      </c>
      <c r="B137" s="22">
        <v>44.5</v>
      </c>
      <c r="C137" s="23">
        <v>1090000</v>
      </c>
      <c r="D137" s="5">
        <v>1.6</v>
      </c>
    </row>
    <row r="138" spans="1:4">
      <c r="A138" s="17">
        <v>45862</v>
      </c>
      <c r="B138" s="22">
        <v>43.8</v>
      </c>
      <c r="C138" s="23">
        <v>970620</v>
      </c>
      <c r="D138" s="5">
        <v>-1.26</v>
      </c>
    </row>
    <row r="139" spans="1:4">
      <c r="A139" s="17">
        <v>45861</v>
      </c>
      <c r="B139" s="22">
        <v>44.36</v>
      </c>
      <c r="C139" s="23">
        <v>1190000</v>
      </c>
      <c r="D139" s="5">
        <v>3.77</v>
      </c>
    </row>
    <row r="140" spans="1:4">
      <c r="A140" s="17">
        <v>45860</v>
      </c>
      <c r="B140" s="22">
        <v>42.75</v>
      </c>
      <c r="C140" s="23">
        <v>1220000</v>
      </c>
      <c r="D140" s="5">
        <v>-1.25</v>
      </c>
    </row>
    <row r="141" spans="1:4">
      <c r="A141" s="17">
        <v>45859</v>
      </c>
      <c r="B141" s="22">
        <v>43.29</v>
      </c>
      <c r="C141" s="23">
        <v>1310000</v>
      </c>
      <c r="D141" s="5">
        <v>-2.85</v>
      </c>
    </row>
    <row r="142" spans="1:4">
      <c r="A142" s="17">
        <v>45856</v>
      </c>
      <c r="B142" s="22">
        <v>44.56</v>
      </c>
      <c r="C142" s="23">
        <v>1120000</v>
      </c>
      <c r="D142" s="5">
        <v>-1.18</v>
      </c>
    </row>
    <row r="143" spans="1:4">
      <c r="A143" s="17">
        <v>45855</v>
      </c>
      <c r="B143" s="22">
        <v>45.09</v>
      </c>
      <c r="C143" s="23">
        <v>750200</v>
      </c>
      <c r="D143" s="5">
        <v>1.76</v>
      </c>
    </row>
    <row r="144" spans="1:4">
      <c r="A144" s="17">
        <v>45854</v>
      </c>
      <c r="B144" s="22">
        <v>44.31</v>
      </c>
      <c r="C144" s="23">
        <v>926030</v>
      </c>
      <c r="D144" s="5">
        <v>-2.21</v>
      </c>
    </row>
    <row r="145" spans="1:4">
      <c r="A145" s="17">
        <v>45853</v>
      </c>
      <c r="B145" s="22">
        <v>45.31</v>
      </c>
      <c r="C145" s="23">
        <v>1310000</v>
      </c>
      <c r="D145" s="5">
        <v>-0.28999999999999998</v>
      </c>
    </row>
    <row r="146" spans="1:4">
      <c r="A146" s="17">
        <v>45852</v>
      </c>
      <c r="B146" s="22">
        <v>45.44</v>
      </c>
      <c r="C146" s="23">
        <v>1480000</v>
      </c>
      <c r="D146" s="5">
        <v>-1.26</v>
      </c>
    </row>
    <row r="147" spans="1:4">
      <c r="A147" s="17">
        <v>45849</v>
      </c>
      <c r="B147" s="22">
        <v>46.02</v>
      </c>
      <c r="C147" s="23">
        <v>2130000</v>
      </c>
      <c r="D147" s="5">
        <v>-5.93</v>
      </c>
    </row>
    <row r="148" spans="1:4">
      <c r="A148" s="17">
        <v>45848</v>
      </c>
      <c r="B148" s="22">
        <v>48.92</v>
      </c>
      <c r="C148" s="23">
        <v>1410000</v>
      </c>
      <c r="D148" s="5">
        <v>3.58</v>
      </c>
    </row>
    <row r="149" spans="1:4">
      <c r="A149" s="17">
        <v>45847</v>
      </c>
      <c r="B149" s="22">
        <v>47.23</v>
      </c>
      <c r="C149" s="23">
        <v>644650</v>
      </c>
      <c r="D149" s="5">
        <v>-2.2200000000000002</v>
      </c>
    </row>
    <row r="150" spans="1:4">
      <c r="A150" s="17">
        <v>45846</v>
      </c>
      <c r="B150" s="22">
        <v>48.3</v>
      </c>
      <c r="C150" s="23">
        <v>846540</v>
      </c>
      <c r="D150" s="5">
        <v>3.12</v>
      </c>
    </row>
    <row r="151" spans="1:4">
      <c r="A151" s="17">
        <v>45845</v>
      </c>
      <c r="B151" s="22">
        <v>46.84</v>
      </c>
      <c r="C151" s="23">
        <v>556390</v>
      </c>
      <c r="D151" s="5">
        <v>-2.15</v>
      </c>
    </row>
    <row r="152" spans="1:4">
      <c r="A152" s="17">
        <v>45841</v>
      </c>
      <c r="B152" s="22">
        <v>47.87</v>
      </c>
      <c r="C152" s="23">
        <v>187230</v>
      </c>
      <c r="D152" s="5">
        <v>-0.99</v>
      </c>
    </row>
    <row r="153" spans="1:4">
      <c r="A153" s="17">
        <v>45840</v>
      </c>
      <c r="B153" s="22">
        <v>48.35</v>
      </c>
      <c r="C153" s="23">
        <v>588230</v>
      </c>
      <c r="D153" s="5">
        <v>2.16</v>
      </c>
    </row>
    <row r="154" spans="1:4">
      <c r="A154" s="17">
        <v>45839</v>
      </c>
      <c r="B154" s="22">
        <v>47.33</v>
      </c>
      <c r="C154" s="23">
        <v>515940.00000000012</v>
      </c>
      <c r="D154" s="5">
        <v>-1</v>
      </c>
    </row>
    <row r="155" spans="1:4">
      <c r="A155" s="17">
        <v>45838</v>
      </c>
      <c r="B155" s="22">
        <v>47.81</v>
      </c>
      <c r="C155" s="23">
        <v>992490</v>
      </c>
      <c r="D155" s="5">
        <v>-0.89</v>
      </c>
    </row>
    <row r="156" spans="1:4">
      <c r="A156" s="17">
        <v>45835</v>
      </c>
      <c r="B156" s="22">
        <v>48.24</v>
      </c>
      <c r="C156" s="23">
        <v>516770</v>
      </c>
      <c r="D156" s="5">
        <v>-1.49</v>
      </c>
    </row>
    <row r="157" spans="1:4">
      <c r="A157" s="17">
        <v>45834</v>
      </c>
      <c r="B157" s="22">
        <v>48.97</v>
      </c>
      <c r="C157" s="23">
        <v>423840</v>
      </c>
      <c r="D157" s="5">
        <v>1.26</v>
      </c>
    </row>
    <row r="158" spans="1:4">
      <c r="A158" s="17">
        <v>45833</v>
      </c>
      <c r="B158" s="22">
        <v>48.36</v>
      </c>
      <c r="C158" s="23">
        <v>583840</v>
      </c>
      <c r="D158" s="5">
        <v>-3.42</v>
      </c>
    </row>
    <row r="159" spans="1:4">
      <c r="A159" s="17">
        <v>45832</v>
      </c>
      <c r="B159" s="22">
        <v>50.07</v>
      </c>
      <c r="C159" s="23">
        <v>825890</v>
      </c>
      <c r="D159" s="5">
        <v>-0.08</v>
      </c>
    </row>
    <row r="160" spans="1:4">
      <c r="A160" s="17">
        <v>45831</v>
      </c>
      <c r="B160" s="22">
        <v>50.11</v>
      </c>
      <c r="C160" s="23">
        <v>1170000</v>
      </c>
      <c r="D160" s="5">
        <v>-1.92</v>
      </c>
    </row>
    <row r="161" spans="1:4">
      <c r="A161" s="17">
        <v>45828</v>
      </c>
      <c r="B161" s="22">
        <v>51.09</v>
      </c>
      <c r="C161" s="23">
        <v>447180</v>
      </c>
      <c r="D161" s="5">
        <v>-0.89</v>
      </c>
    </row>
    <row r="162" spans="1:4">
      <c r="A162" s="17">
        <v>45826</v>
      </c>
      <c r="B162" s="22">
        <v>51.55</v>
      </c>
      <c r="C162" s="23">
        <v>457340</v>
      </c>
      <c r="D162" s="5">
        <v>-1.25</v>
      </c>
    </row>
    <row r="163" spans="1:4">
      <c r="A163" s="17">
        <v>45825</v>
      </c>
      <c r="B163" s="22">
        <v>52.2</v>
      </c>
      <c r="C163" s="23">
        <v>512640</v>
      </c>
      <c r="D163" s="5">
        <v>0.31</v>
      </c>
    </row>
    <row r="164" spans="1:4">
      <c r="A164" s="17">
        <v>45824</v>
      </c>
      <c r="B164" s="22">
        <v>52.04</v>
      </c>
      <c r="C164" s="23">
        <v>591500</v>
      </c>
      <c r="D164" s="5">
        <v>-1.9</v>
      </c>
    </row>
    <row r="165" spans="1:4">
      <c r="A165" s="17">
        <v>45821</v>
      </c>
      <c r="B165" s="22">
        <v>53.05</v>
      </c>
      <c r="C165" s="23">
        <v>1720000</v>
      </c>
      <c r="D165" s="5">
        <v>1.22</v>
      </c>
    </row>
    <row r="166" spans="1:4">
      <c r="A166" s="17">
        <v>45820</v>
      </c>
      <c r="B166" s="22">
        <v>52.41</v>
      </c>
      <c r="C166" s="23">
        <v>337810</v>
      </c>
      <c r="D166" s="5">
        <v>0</v>
      </c>
    </row>
    <row r="167" spans="1:4">
      <c r="A167" s="17">
        <v>45819</v>
      </c>
      <c r="B167" s="22">
        <v>52.41</v>
      </c>
      <c r="C167" s="23">
        <v>636740</v>
      </c>
      <c r="D167" s="5">
        <v>2.04</v>
      </c>
    </row>
    <row r="168" spans="1:4">
      <c r="A168" s="17">
        <v>45818</v>
      </c>
      <c r="B168" s="22">
        <v>51.36</v>
      </c>
      <c r="C168" s="23">
        <v>739470</v>
      </c>
      <c r="D168" s="5">
        <v>4.16</v>
      </c>
    </row>
    <row r="169" spans="1:4">
      <c r="A169" s="17">
        <v>45817</v>
      </c>
      <c r="B169" s="22">
        <v>49.31</v>
      </c>
      <c r="C169" s="23">
        <v>481510</v>
      </c>
      <c r="D169" s="5">
        <v>-1.4</v>
      </c>
    </row>
    <row r="170" spans="1:4">
      <c r="A170" s="17">
        <v>45814</v>
      </c>
      <c r="B170" s="22">
        <v>50.01</v>
      </c>
      <c r="C170" s="23">
        <v>490860</v>
      </c>
      <c r="D170" s="5">
        <v>2.9</v>
      </c>
    </row>
    <row r="171" spans="1:4">
      <c r="A171" s="17">
        <v>45813</v>
      </c>
      <c r="B171" s="22">
        <v>48.6</v>
      </c>
      <c r="C171" s="23">
        <v>598700</v>
      </c>
      <c r="D171" s="5">
        <v>1.46</v>
      </c>
    </row>
    <row r="172" spans="1:4">
      <c r="A172" s="17">
        <v>45812</v>
      </c>
      <c r="B172" s="22">
        <v>47.9</v>
      </c>
      <c r="C172" s="23">
        <v>1350000</v>
      </c>
      <c r="D172" s="5">
        <v>-6.41</v>
      </c>
    </row>
    <row r="173" spans="1:4">
      <c r="A173" s="17">
        <v>45811</v>
      </c>
      <c r="B173" s="22">
        <v>51.18</v>
      </c>
      <c r="C173" s="23">
        <v>500820</v>
      </c>
      <c r="D173" s="5">
        <v>3.5</v>
      </c>
    </row>
    <row r="174" spans="1:4">
      <c r="A174" s="17">
        <v>45810</v>
      </c>
      <c r="B174" s="22">
        <v>49.45</v>
      </c>
      <c r="C174" s="23">
        <v>433290</v>
      </c>
      <c r="D174" s="5">
        <v>-0.16</v>
      </c>
    </row>
    <row r="175" spans="1:4">
      <c r="A175" s="17">
        <v>45807</v>
      </c>
      <c r="B175" s="22">
        <v>49.53</v>
      </c>
      <c r="C175" s="23">
        <v>917490</v>
      </c>
      <c r="D175" s="5">
        <v>-1.22</v>
      </c>
    </row>
    <row r="176" spans="1:4">
      <c r="A176" s="17">
        <v>45806</v>
      </c>
      <c r="B176" s="22">
        <v>50.14</v>
      </c>
      <c r="C176" s="23">
        <v>853350</v>
      </c>
      <c r="D176" s="5">
        <v>-0.14000000000000001</v>
      </c>
    </row>
    <row r="177" spans="1:4">
      <c r="A177" s="17">
        <v>45805</v>
      </c>
      <c r="B177" s="22">
        <v>50.21</v>
      </c>
      <c r="C177" s="23">
        <v>934560</v>
      </c>
      <c r="D177" s="5">
        <v>2.14</v>
      </c>
    </row>
    <row r="178" spans="1:4">
      <c r="A178" s="17">
        <v>45804</v>
      </c>
      <c r="B178" s="22">
        <v>49.16</v>
      </c>
      <c r="C178" s="23">
        <v>483980</v>
      </c>
      <c r="D178" s="5">
        <v>-1.25</v>
      </c>
    </row>
    <row r="179" spans="1:4">
      <c r="A179" s="17">
        <v>45800</v>
      </c>
      <c r="B179" s="22">
        <v>49.78</v>
      </c>
      <c r="C179" s="23">
        <v>384310</v>
      </c>
      <c r="D179" s="5">
        <v>0.85</v>
      </c>
    </row>
    <row r="180" spans="1:4">
      <c r="A180" s="17">
        <v>45799</v>
      </c>
      <c r="B180" s="22">
        <v>49.36</v>
      </c>
      <c r="C180" s="23">
        <v>811060</v>
      </c>
      <c r="D180" s="5">
        <v>-0.8</v>
      </c>
    </row>
    <row r="181" spans="1:4">
      <c r="A181" s="17">
        <v>45798</v>
      </c>
      <c r="B181" s="22">
        <v>49.76</v>
      </c>
      <c r="C181" s="23">
        <v>564580</v>
      </c>
      <c r="D181" s="5">
        <v>-2.2599999999999998</v>
      </c>
    </row>
    <row r="182" spans="1:4">
      <c r="A182" s="17">
        <v>45797</v>
      </c>
      <c r="B182" s="22">
        <v>50.91</v>
      </c>
      <c r="C182" s="23">
        <v>782540</v>
      </c>
      <c r="D182" s="5">
        <v>-0.8</v>
      </c>
    </row>
    <row r="183" spans="1:4">
      <c r="A183" s="17">
        <v>45796</v>
      </c>
      <c r="B183" s="22">
        <v>51.32</v>
      </c>
      <c r="C183" s="23">
        <v>1630000</v>
      </c>
      <c r="D183" s="5">
        <v>2.25</v>
      </c>
    </row>
    <row r="184" spans="1:4">
      <c r="A184" s="17">
        <v>45793</v>
      </c>
      <c r="B184" s="22">
        <v>50.19</v>
      </c>
      <c r="C184" s="23">
        <v>920780</v>
      </c>
      <c r="D184" s="5">
        <v>-0.73</v>
      </c>
    </row>
    <row r="185" spans="1:4">
      <c r="A185" s="17">
        <v>45792</v>
      </c>
      <c r="B185" s="22">
        <v>50.56</v>
      </c>
      <c r="C185" s="23">
        <v>855050</v>
      </c>
      <c r="D185" s="5">
        <v>-1.62</v>
      </c>
    </row>
    <row r="186" spans="1:4">
      <c r="A186" s="17">
        <v>45791</v>
      </c>
      <c r="B186" s="22">
        <v>51.39</v>
      </c>
      <c r="C186" s="23">
        <v>636310</v>
      </c>
      <c r="D186" s="5">
        <v>0.23</v>
      </c>
    </row>
    <row r="187" spans="1:4">
      <c r="A187" s="17">
        <v>45790</v>
      </c>
      <c r="B187" s="22">
        <v>51.27</v>
      </c>
      <c r="C187" s="23">
        <v>903380</v>
      </c>
      <c r="D187" s="5">
        <v>2.46</v>
      </c>
    </row>
    <row r="188" spans="1:4">
      <c r="A188" s="17">
        <v>45789</v>
      </c>
      <c r="B188" s="22">
        <v>50.04</v>
      </c>
      <c r="C188" s="23">
        <v>757200</v>
      </c>
      <c r="D188" s="5">
        <v>5.86</v>
      </c>
    </row>
    <row r="189" spans="1:4">
      <c r="A189" s="17">
        <v>45786</v>
      </c>
      <c r="B189" s="22">
        <v>47.27</v>
      </c>
      <c r="C189" s="23">
        <v>618570</v>
      </c>
      <c r="D189" s="5">
        <v>1.5</v>
      </c>
    </row>
    <row r="190" spans="1:4">
      <c r="A190" s="17">
        <v>45785</v>
      </c>
      <c r="B190" s="22">
        <v>46.57</v>
      </c>
      <c r="C190" s="23">
        <v>644890</v>
      </c>
      <c r="D190" s="5">
        <v>3.58</v>
      </c>
    </row>
    <row r="191" spans="1:4">
      <c r="A191" s="17">
        <v>45784</v>
      </c>
      <c r="B191" s="22">
        <v>44.96</v>
      </c>
      <c r="C191" s="23">
        <v>1020000</v>
      </c>
      <c r="D191" s="5">
        <v>0.83</v>
      </c>
    </row>
    <row r="192" spans="1:4">
      <c r="A192" s="17">
        <v>45783</v>
      </c>
      <c r="B192" s="22">
        <v>44.59</v>
      </c>
      <c r="C192" s="23">
        <v>711550</v>
      </c>
      <c r="D192" s="5">
        <v>4.26</v>
      </c>
    </row>
    <row r="193" spans="1:4">
      <c r="A193" s="17">
        <v>45782</v>
      </c>
      <c r="B193" s="22">
        <v>42.77</v>
      </c>
      <c r="C193" s="23">
        <v>836130</v>
      </c>
      <c r="D193" s="5">
        <v>-2.8</v>
      </c>
    </row>
    <row r="194" spans="1:4">
      <c r="A194" s="17">
        <v>45779</v>
      </c>
      <c r="B194" s="22">
        <v>44</v>
      </c>
      <c r="C194" s="23">
        <v>856340</v>
      </c>
      <c r="D194" s="5">
        <v>-1.35</v>
      </c>
    </row>
    <row r="195" spans="1:4">
      <c r="A195" s="17">
        <v>45778</v>
      </c>
      <c r="B195" s="22">
        <v>44.6</v>
      </c>
      <c r="C195" s="23">
        <v>779500</v>
      </c>
      <c r="D195" s="5">
        <v>-1.26</v>
      </c>
    </row>
    <row r="196" spans="1:4">
      <c r="A196" s="17">
        <v>45777</v>
      </c>
      <c r="B196" s="22">
        <v>45.17</v>
      </c>
      <c r="C196" s="23">
        <v>1290000</v>
      </c>
      <c r="D196" s="5">
        <v>-1.07</v>
      </c>
    </row>
    <row r="197" spans="1:4">
      <c r="A197" s="17">
        <v>45776</v>
      </c>
      <c r="B197" s="22">
        <v>45.66</v>
      </c>
      <c r="C197" s="23">
        <v>903860</v>
      </c>
      <c r="D197" s="5">
        <v>-3.22</v>
      </c>
    </row>
    <row r="198" spans="1:4">
      <c r="A198" s="17">
        <v>45775</v>
      </c>
      <c r="B198" s="22">
        <v>47.18</v>
      </c>
      <c r="C198" s="23">
        <v>1030000</v>
      </c>
      <c r="D198" s="5">
        <v>-1.77</v>
      </c>
    </row>
    <row r="199" spans="1:4">
      <c r="A199" s="17">
        <v>45772</v>
      </c>
      <c r="B199" s="22">
        <v>48.03</v>
      </c>
      <c r="C199" s="23">
        <v>1200000</v>
      </c>
      <c r="D199" s="5">
        <v>-1.78</v>
      </c>
    </row>
    <row r="200" spans="1:4">
      <c r="A200" s="17">
        <v>45771</v>
      </c>
      <c r="B200" s="22">
        <v>48.9</v>
      </c>
      <c r="C200" s="23">
        <v>1750000</v>
      </c>
      <c r="D200" s="5">
        <v>2.73</v>
      </c>
    </row>
    <row r="201" spans="1:4">
      <c r="A201" s="17">
        <v>45770</v>
      </c>
      <c r="B201" s="22">
        <v>47.6</v>
      </c>
      <c r="C201" s="23">
        <v>1320000</v>
      </c>
      <c r="D201" s="5">
        <v>1.64</v>
      </c>
    </row>
    <row r="202" spans="1:4">
      <c r="A202" s="17">
        <v>45769</v>
      </c>
      <c r="B202" s="22">
        <v>46.83</v>
      </c>
      <c r="C202" s="23">
        <v>1240000</v>
      </c>
      <c r="D202" s="5">
        <v>3.24</v>
      </c>
    </row>
    <row r="203" spans="1:4">
      <c r="A203" s="17">
        <v>45768</v>
      </c>
      <c r="B203" s="22">
        <v>45.36</v>
      </c>
      <c r="C203" s="23">
        <v>1070000</v>
      </c>
      <c r="D203" s="5">
        <v>-5.12</v>
      </c>
    </row>
    <row r="204" spans="1:4">
      <c r="A204" s="17">
        <v>45764</v>
      </c>
      <c r="B204" s="22">
        <v>47.81</v>
      </c>
      <c r="C204" s="23">
        <v>2080000</v>
      </c>
      <c r="D204" s="5">
        <v>6.89</v>
      </c>
    </row>
    <row r="205" spans="1:4">
      <c r="A205" s="17">
        <v>45763</v>
      </c>
      <c r="B205" s="22">
        <v>44.73</v>
      </c>
      <c r="C205" s="23">
        <v>3690000</v>
      </c>
      <c r="D205" s="5">
        <v>10.77</v>
      </c>
    </row>
    <row r="206" spans="1:4">
      <c r="A206" s="17">
        <v>45762</v>
      </c>
      <c r="B206" s="22">
        <v>40.380000000000003</v>
      </c>
      <c r="C206" s="23">
        <v>812420</v>
      </c>
      <c r="D206" s="5">
        <v>-1.17</v>
      </c>
    </row>
    <row r="207" spans="1:4">
      <c r="A207" s="17">
        <v>45761</v>
      </c>
      <c r="B207" s="22">
        <v>40.86</v>
      </c>
      <c r="C207" s="23">
        <v>2220000</v>
      </c>
      <c r="D207" s="5">
        <v>7.1</v>
      </c>
    </row>
    <row r="208" spans="1:4">
      <c r="A208" s="17">
        <v>45758</v>
      </c>
      <c r="B208" s="22">
        <v>38.15</v>
      </c>
      <c r="C208" s="23">
        <v>1350000</v>
      </c>
      <c r="D208" s="5">
        <v>8.1300000000000008</v>
      </c>
    </row>
    <row r="209" spans="1:4">
      <c r="A209" s="17">
        <v>45757</v>
      </c>
      <c r="B209" s="22">
        <v>35.28</v>
      </c>
      <c r="C209" s="23">
        <v>1380000</v>
      </c>
      <c r="D209" s="5">
        <v>-8.1</v>
      </c>
    </row>
    <row r="210" spans="1:4">
      <c r="A210" s="17">
        <v>45756</v>
      </c>
      <c r="B210" s="22">
        <v>38.39</v>
      </c>
      <c r="C210" s="23">
        <v>3060000</v>
      </c>
      <c r="D210" s="5">
        <v>9.75</v>
      </c>
    </row>
    <row r="211" spans="1:4">
      <c r="A211" s="17">
        <v>45755</v>
      </c>
      <c r="B211" s="22">
        <v>34.979999999999997</v>
      </c>
      <c r="C211" s="23">
        <v>1800000</v>
      </c>
      <c r="D211" s="5">
        <v>-5.54</v>
      </c>
    </row>
    <row r="212" spans="1:4">
      <c r="A212" s="17">
        <v>45754</v>
      </c>
      <c r="B212" s="22">
        <v>37.03</v>
      </c>
      <c r="C212" s="23">
        <v>2020000</v>
      </c>
      <c r="D212" s="5">
        <v>-4.3899999999999997</v>
      </c>
    </row>
    <row r="213" spans="1:4">
      <c r="A213" s="17">
        <v>45751</v>
      </c>
      <c r="B213" s="22">
        <v>38.729999999999997</v>
      </c>
      <c r="C213" s="23">
        <v>2250000</v>
      </c>
      <c r="D213" s="5">
        <v>-10.62</v>
      </c>
    </row>
    <row r="214" spans="1:4">
      <c r="A214" s="17">
        <v>45750</v>
      </c>
      <c r="B214" s="22">
        <v>43.33</v>
      </c>
      <c r="C214" s="23">
        <v>1130000</v>
      </c>
      <c r="D214" s="5">
        <v>-8.49</v>
      </c>
    </row>
    <row r="215" spans="1:4">
      <c r="A215" s="17">
        <v>45749</v>
      </c>
      <c r="B215" s="22">
        <v>47.35</v>
      </c>
      <c r="C215" s="23">
        <v>345610</v>
      </c>
      <c r="D215" s="5">
        <v>-0.82</v>
      </c>
    </row>
    <row r="216" spans="1:4">
      <c r="A216" s="17">
        <v>45748</v>
      </c>
      <c r="B216" s="22">
        <v>47.74</v>
      </c>
      <c r="C216" s="23">
        <v>527420</v>
      </c>
      <c r="D216" s="5">
        <v>2.5299999999999998</v>
      </c>
    </row>
    <row r="217" spans="1:4">
      <c r="A217" s="17">
        <v>45747</v>
      </c>
      <c r="B217" s="22">
        <v>46.56</v>
      </c>
      <c r="C217" s="23">
        <v>667920</v>
      </c>
      <c r="D217" s="5">
        <v>-1.98</v>
      </c>
    </row>
    <row r="218" spans="1:4">
      <c r="A218" s="17">
        <v>45744</v>
      </c>
      <c r="B218" s="22">
        <v>47.5</v>
      </c>
      <c r="C218" s="23">
        <v>704450</v>
      </c>
      <c r="D218" s="5">
        <v>-2</v>
      </c>
    </row>
    <row r="219" spans="1:4">
      <c r="A219" s="17">
        <v>45743</v>
      </c>
      <c r="B219" s="22">
        <v>48.47</v>
      </c>
      <c r="C219" s="23">
        <v>746200</v>
      </c>
      <c r="D219" s="5">
        <v>0.77</v>
      </c>
    </row>
    <row r="220" spans="1:4">
      <c r="A220" s="17">
        <v>45742</v>
      </c>
      <c r="B220" s="22">
        <v>48.1</v>
      </c>
      <c r="C220" s="23">
        <v>702550</v>
      </c>
      <c r="D220" s="5">
        <v>-0.48</v>
      </c>
    </row>
    <row r="221" spans="1:4">
      <c r="A221" s="17">
        <v>45741</v>
      </c>
      <c r="B221" s="22">
        <v>48.33</v>
      </c>
      <c r="C221" s="23">
        <v>527090</v>
      </c>
      <c r="D221" s="5">
        <v>3.03</v>
      </c>
    </row>
    <row r="222" spans="1:4">
      <c r="A222" s="17">
        <v>45740</v>
      </c>
      <c r="B222" s="22">
        <v>46.91</v>
      </c>
      <c r="C222" s="23">
        <v>352520</v>
      </c>
      <c r="D222" s="5">
        <v>-0.21</v>
      </c>
    </row>
    <row r="223" spans="1:4">
      <c r="A223" s="17">
        <v>45737</v>
      </c>
      <c r="B223" s="22">
        <v>47.01</v>
      </c>
      <c r="C223" s="23">
        <v>433860</v>
      </c>
      <c r="D223" s="5">
        <v>1.21</v>
      </c>
    </row>
    <row r="224" spans="1:4">
      <c r="A224" s="17">
        <v>45736</v>
      </c>
      <c r="B224" s="22">
        <v>46.45</v>
      </c>
      <c r="C224" s="23">
        <v>307070</v>
      </c>
      <c r="D224" s="5">
        <v>-0.15</v>
      </c>
    </row>
    <row r="225" spans="1:4">
      <c r="A225" s="17">
        <v>45735</v>
      </c>
      <c r="B225" s="22">
        <v>46.52</v>
      </c>
      <c r="C225" s="23">
        <v>690010</v>
      </c>
      <c r="D225" s="5">
        <v>1.73</v>
      </c>
    </row>
    <row r="226" spans="1:4">
      <c r="A226" s="17">
        <v>45734</v>
      </c>
      <c r="B226" s="22">
        <v>45.73</v>
      </c>
      <c r="C226" s="23">
        <v>898500</v>
      </c>
      <c r="D226" s="5">
        <v>-6.96</v>
      </c>
    </row>
    <row r="227" spans="1:4">
      <c r="A227" s="17">
        <v>45733</v>
      </c>
      <c r="B227" s="22">
        <v>49.15</v>
      </c>
      <c r="C227" s="23">
        <v>446390</v>
      </c>
      <c r="D227" s="5">
        <v>-0.16</v>
      </c>
    </row>
    <row r="228" spans="1:4">
      <c r="A228" s="17">
        <v>45730</v>
      </c>
      <c r="B228" s="22">
        <v>49.23</v>
      </c>
      <c r="C228" s="23">
        <v>703320</v>
      </c>
      <c r="D228" s="5">
        <v>3.97</v>
      </c>
    </row>
    <row r="229" spans="1:4">
      <c r="A229" s="17">
        <v>45729</v>
      </c>
      <c r="B229" s="22">
        <v>47.35</v>
      </c>
      <c r="C229" s="23">
        <v>951200</v>
      </c>
      <c r="D229" s="5">
        <v>0.23</v>
      </c>
    </row>
    <row r="230" spans="1:4">
      <c r="A230" s="17">
        <v>45728</v>
      </c>
      <c r="B230" s="22">
        <v>47.24</v>
      </c>
      <c r="C230" s="23">
        <v>1740000</v>
      </c>
      <c r="D230" s="5">
        <v>10.63</v>
      </c>
    </row>
    <row r="231" spans="1:4">
      <c r="A231" s="17">
        <v>45727</v>
      </c>
      <c r="B231" s="22">
        <v>42.7</v>
      </c>
      <c r="C231" s="23">
        <v>854360</v>
      </c>
      <c r="D231" s="5">
        <v>0.28000000000000003</v>
      </c>
    </row>
    <row r="232" spans="1:4">
      <c r="A232" s="17">
        <v>45726</v>
      </c>
      <c r="B232" s="22">
        <v>42.58</v>
      </c>
      <c r="C232" s="23">
        <v>1890000</v>
      </c>
      <c r="D232" s="5">
        <v>-6.87</v>
      </c>
    </row>
    <row r="233" spans="1:4">
      <c r="A233" s="17">
        <v>45723</v>
      </c>
      <c r="B233" s="22">
        <v>45.72</v>
      </c>
      <c r="C233" s="23">
        <v>779440</v>
      </c>
      <c r="D233" s="5">
        <v>1.04</v>
      </c>
    </row>
    <row r="234" spans="1:4">
      <c r="A234" s="17">
        <v>45722</v>
      </c>
      <c r="B234" s="22">
        <v>45.25</v>
      </c>
      <c r="C234" s="23">
        <v>618580</v>
      </c>
      <c r="D234" s="5">
        <v>-1.44</v>
      </c>
    </row>
    <row r="235" spans="1:4">
      <c r="A235" s="17">
        <v>45721</v>
      </c>
      <c r="B235" s="22">
        <v>45.91</v>
      </c>
      <c r="C235" s="23">
        <v>1450000</v>
      </c>
      <c r="D235" s="5">
        <v>-0.48</v>
      </c>
    </row>
    <row r="236" spans="1:4">
      <c r="A236" s="17">
        <v>45720</v>
      </c>
      <c r="B236" s="22">
        <v>46.13</v>
      </c>
      <c r="C236" s="23">
        <v>2000000</v>
      </c>
      <c r="D236" s="5">
        <v>-6.52</v>
      </c>
    </row>
    <row r="237" spans="1:4">
      <c r="A237" s="17">
        <v>45719</v>
      </c>
      <c r="B237" s="22">
        <v>49.35</v>
      </c>
      <c r="C237" s="23">
        <v>1630000</v>
      </c>
      <c r="D237" s="5">
        <v>-2.82</v>
      </c>
    </row>
    <row r="238" spans="1:4">
      <c r="A238" s="17">
        <v>45716</v>
      </c>
      <c r="B238" s="22">
        <v>50.78</v>
      </c>
      <c r="C238" s="23">
        <v>1320000</v>
      </c>
      <c r="D238" s="5">
        <v>4.29</v>
      </c>
    </row>
    <row r="239" spans="1:4">
      <c r="A239" s="17">
        <v>45715</v>
      </c>
      <c r="B239" s="22">
        <v>48.69</v>
      </c>
      <c r="C239" s="23">
        <v>967540</v>
      </c>
      <c r="D239" s="5">
        <v>-5.42</v>
      </c>
    </row>
    <row r="240" spans="1:4">
      <c r="A240" s="17">
        <v>45714</v>
      </c>
      <c r="B240" s="22">
        <v>51.48</v>
      </c>
      <c r="C240" s="23">
        <v>800180</v>
      </c>
      <c r="D240" s="5">
        <v>-0.04</v>
      </c>
    </row>
    <row r="241" spans="1:4">
      <c r="A241" s="17">
        <v>45713</v>
      </c>
      <c r="B241" s="22">
        <v>51.5</v>
      </c>
      <c r="C241" s="23">
        <v>738920</v>
      </c>
      <c r="D241" s="5">
        <v>-1.02</v>
      </c>
    </row>
    <row r="242" spans="1:4">
      <c r="A242" s="17">
        <v>45712</v>
      </c>
      <c r="B242" s="22">
        <v>52.03</v>
      </c>
      <c r="C242" s="23">
        <v>989970</v>
      </c>
      <c r="D242" s="5">
        <v>-4.0199999999999996</v>
      </c>
    </row>
    <row r="243" spans="1:4">
      <c r="A243" s="17">
        <v>45709</v>
      </c>
      <c r="B243" s="22">
        <v>54.21</v>
      </c>
      <c r="C243" s="23">
        <v>1050000</v>
      </c>
      <c r="D243" s="5">
        <v>-2.13</v>
      </c>
    </row>
    <row r="244" spans="1:4">
      <c r="A244" s="17">
        <v>45708</v>
      </c>
      <c r="B244" s="22">
        <v>55.39</v>
      </c>
      <c r="C244" s="23">
        <v>1100000</v>
      </c>
      <c r="D244" s="5">
        <v>4.53</v>
      </c>
    </row>
    <row r="245" spans="1:4">
      <c r="A245" s="17">
        <v>45707</v>
      </c>
      <c r="B245" s="22">
        <v>52.99</v>
      </c>
      <c r="C245" s="23">
        <v>1140000</v>
      </c>
      <c r="D245" s="5">
        <v>3.62</v>
      </c>
    </row>
    <row r="246" spans="1:4">
      <c r="A246" s="17">
        <v>45706</v>
      </c>
      <c r="B246" s="22">
        <v>51.14</v>
      </c>
      <c r="C246" s="23">
        <v>1380000</v>
      </c>
      <c r="D246" s="5">
        <v>-0.54</v>
      </c>
    </row>
    <row r="247" spans="1:4">
      <c r="A247" s="17">
        <v>45702</v>
      </c>
      <c r="B247" s="22">
        <v>51.42</v>
      </c>
      <c r="C247" s="23">
        <v>701380</v>
      </c>
      <c r="D247" s="5">
        <v>-0.52</v>
      </c>
    </row>
    <row r="248" spans="1:4">
      <c r="A248" s="17">
        <v>45701</v>
      </c>
      <c r="B248" s="22">
        <v>51.69</v>
      </c>
      <c r="C248" s="23">
        <v>694140</v>
      </c>
      <c r="D248" s="5">
        <v>1.93</v>
      </c>
    </row>
    <row r="249" spans="1:4">
      <c r="A249" s="17">
        <v>45700</v>
      </c>
      <c r="B249" s="22">
        <v>50.71</v>
      </c>
      <c r="C249" s="23">
        <v>1050000</v>
      </c>
      <c r="D249" s="5">
        <v>-0.12</v>
      </c>
    </row>
    <row r="250" spans="1:4">
      <c r="A250" s="17">
        <v>45699</v>
      </c>
      <c r="B250" s="22">
        <v>50.77</v>
      </c>
      <c r="C250" s="23">
        <v>1110000</v>
      </c>
      <c r="D250" s="5">
        <v>-5.39</v>
      </c>
    </row>
    <row r="251" spans="1:4">
      <c r="A251" s="17">
        <v>45698</v>
      </c>
      <c r="B251" s="22">
        <v>53.66</v>
      </c>
      <c r="C251" s="23">
        <v>569100</v>
      </c>
      <c r="D251" s="5">
        <v>1.94</v>
      </c>
    </row>
    <row r="252" spans="1:4">
      <c r="A252" s="17">
        <v>45695</v>
      </c>
      <c r="B252" s="22">
        <v>52.64</v>
      </c>
      <c r="C252" s="23">
        <v>892630</v>
      </c>
      <c r="D252" s="5">
        <v>-1.68</v>
      </c>
    </row>
    <row r="253" spans="1:4">
      <c r="A253" s="17">
        <v>45694</v>
      </c>
      <c r="B253" s="22">
        <v>53.54</v>
      </c>
      <c r="C253" s="23">
        <v>721340</v>
      </c>
      <c r="D253" s="5">
        <v>2.21</v>
      </c>
    </row>
    <row r="254" spans="1:4">
      <c r="A254" s="17">
        <v>45693</v>
      </c>
      <c r="B254" s="22">
        <v>52.38</v>
      </c>
      <c r="C254" s="23">
        <v>722290</v>
      </c>
      <c r="D254" s="5">
        <v>-1.65</v>
      </c>
    </row>
    <row r="255" spans="1:4">
      <c r="A255" s="17">
        <v>45692</v>
      </c>
      <c r="B255" s="22">
        <v>53.26</v>
      </c>
      <c r="C255" s="23">
        <v>668570</v>
      </c>
      <c r="D255" s="5">
        <v>0.87</v>
      </c>
    </row>
    <row r="256" spans="1:4">
      <c r="A256" s="17">
        <v>45691</v>
      </c>
      <c r="B256" s="22">
        <v>52.8</v>
      </c>
      <c r="C256" s="23">
        <v>711920</v>
      </c>
      <c r="D256" s="5">
        <v>-2.13</v>
      </c>
    </row>
    <row r="257" spans="1:4">
      <c r="A257" s="17">
        <v>45688</v>
      </c>
      <c r="B257" s="22">
        <v>53.95</v>
      </c>
      <c r="C257" s="23">
        <v>552730</v>
      </c>
      <c r="D257" s="5">
        <v>-2.83</v>
      </c>
    </row>
    <row r="258" spans="1:4">
      <c r="A258" s="17">
        <v>45687</v>
      </c>
      <c r="B258" s="22">
        <v>55.52</v>
      </c>
      <c r="C258" s="23">
        <v>631720</v>
      </c>
      <c r="D258" s="5">
        <v>1.02</v>
      </c>
    </row>
    <row r="259" spans="1:4">
      <c r="A259" s="17">
        <v>45686</v>
      </c>
      <c r="B259" s="22">
        <v>54.96</v>
      </c>
      <c r="C259" s="23">
        <v>703760</v>
      </c>
      <c r="D259" s="5">
        <v>4.3499999999999996</v>
      </c>
    </row>
    <row r="260" spans="1:4">
      <c r="A260" s="17">
        <v>45685</v>
      </c>
      <c r="B260" s="22">
        <v>52.67</v>
      </c>
      <c r="C260" s="23">
        <v>1400000</v>
      </c>
      <c r="D260" s="5">
        <v>-2.59</v>
      </c>
    </row>
    <row r="261" spans="1:4">
      <c r="A261" s="17">
        <v>45684</v>
      </c>
      <c r="B261" s="22">
        <v>54.07</v>
      </c>
      <c r="C261" s="23">
        <v>1340000</v>
      </c>
      <c r="D261" s="5">
        <v>-5.1100000000000003</v>
      </c>
    </row>
    <row r="262" spans="1:4">
      <c r="A262" s="17">
        <v>45681</v>
      </c>
      <c r="B262" s="22">
        <v>56.98</v>
      </c>
      <c r="C262" s="23">
        <v>1100000</v>
      </c>
      <c r="D262" s="5">
        <v>-3.05</v>
      </c>
    </row>
    <row r="263" spans="1:4">
      <c r="A263" s="17">
        <v>45680</v>
      </c>
      <c r="B263" s="22">
        <v>58.77</v>
      </c>
      <c r="C263" s="23">
        <v>853120</v>
      </c>
      <c r="D263" s="5">
        <v>0.17</v>
      </c>
    </row>
    <row r="264" spans="1:4">
      <c r="A264" s="17">
        <v>45679</v>
      </c>
      <c r="B264" s="22">
        <v>58.67</v>
      </c>
      <c r="C264" s="23">
        <v>817160</v>
      </c>
      <c r="D264" s="5">
        <v>2.09</v>
      </c>
    </row>
    <row r="265" spans="1:4">
      <c r="A265" s="17">
        <v>45678</v>
      </c>
      <c r="B265" s="22">
        <v>57.47</v>
      </c>
      <c r="C265" s="23">
        <v>759360</v>
      </c>
      <c r="D265" s="5">
        <v>1.3</v>
      </c>
    </row>
    <row r="266" spans="1:4">
      <c r="A266" s="17">
        <v>45674</v>
      </c>
      <c r="B266" s="22">
        <v>56.73</v>
      </c>
      <c r="C266" s="23">
        <v>905500</v>
      </c>
      <c r="D266" s="5">
        <v>-2.74</v>
      </c>
    </row>
    <row r="267" spans="1:4">
      <c r="A267" s="17">
        <v>45673</v>
      </c>
      <c r="B267" s="22">
        <v>58.33</v>
      </c>
      <c r="C267" s="23">
        <v>702510</v>
      </c>
      <c r="D267" s="5">
        <v>-1.97</v>
      </c>
    </row>
    <row r="268" spans="1:4">
      <c r="A268" s="17">
        <v>45672</v>
      </c>
      <c r="B268" s="22">
        <v>59.5</v>
      </c>
      <c r="C268" s="23">
        <v>1090000</v>
      </c>
      <c r="D268" s="5">
        <v>1.21</v>
      </c>
    </row>
    <row r="269" spans="1:4">
      <c r="A269" s="17">
        <v>45671</v>
      </c>
      <c r="B269" s="22">
        <v>58.79</v>
      </c>
      <c r="C269" s="23">
        <v>714390</v>
      </c>
      <c r="D269" s="5">
        <v>3.12</v>
      </c>
    </row>
    <row r="270" spans="1:4">
      <c r="A270" s="17">
        <v>45670</v>
      </c>
      <c r="B270" s="22">
        <v>57.01</v>
      </c>
      <c r="C270" s="23">
        <v>796930</v>
      </c>
      <c r="D270" s="5">
        <v>-1.45</v>
      </c>
    </row>
    <row r="271" spans="1:4">
      <c r="A271" s="17">
        <v>45667</v>
      </c>
      <c r="B271" s="22">
        <v>57.85</v>
      </c>
      <c r="C271" s="23">
        <v>871530</v>
      </c>
      <c r="D271" s="5">
        <v>2.41</v>
      </c>
    </row>
    <row r="272" spans="1:4">
      <c r="A272" s="17">
        <v>45665</v>
      </c>
      <c r="B272" s="22">
        <v>56.49</v>
      </c>
      <c r="C272" s="23">
        <v>839030</v>
      </c>
      <c r="D272" s="5">
        <v>-1.76</v>
      </c>
    </row>
    <row r="273" spans="1:4">
      <c r="A273" s="17">
        <v>45664</v>
      </c>
      <c r="B273" s="22">
        <v>57.5</v>
      </c>
      <c r="C273" s="23">
        <v>1080000</v>
      </c>
      <c r="D273" s="5">
        <v>5.52</v>
      </c>
    </row>
    <row r="274" spans="1:4">
      <c r="A274" s="17">
        <v>45663</v>
      </c>
      <c r="B274" s="22">
        <v>54.49</v>
      </c>
      <c r="C274" s="23">
        <v>921060</v>
      </c>
      <c r="D274" s="5">
        <v>0.59</v>
      </c>
    </row>
    <row r="275" spans="1:4">
      <c r="A275" s="17">
        <v>45660</v>
      </c>
      <c r="B275" s="22">
        <v>54.17</v>
      </c>
      <c r="C275" s="23">
        <v>1210000</v>
      </c>
      <c r="D275" s="5">
        <v>-3.09</v>
      </c>
    </row>
    <row r="276" spans="1:4">
      <c r="A276" s="17">
        <v>45659</v>
      </c>
      <c r="B276" s="22">
        <v>55.9</v>
      </c>
      <c r="C276" s="23">
        <v>1330000</v>
      </c>
      <c r="D276" s="5">
        <v>3.31</v>
      </c>
    </row>
    <row r="277" spans="1:4">
      <c r="A277" s="17">
        <v>45657</v>
      </c>
      <c r="B277" s="22">
        <v>54.11</v>
      </c>
      <c r="C277" s="23">
        <v>237990</v>
      </c>
      <c r="D277" s="5">
        <v>0.04</v>
      </c>
    </row>
    <row r="278" spans="1:4">
      <c r="A278" s="17">
        <v>45656</v>
      </c>
      <c r="B278" s="22">
        <v>54.09</v>
      </c>
      <c r="C278" s="23">
        <v>440160</v>
      </c>
      <c r="D278" s="5">
        <v>-0.15</v>
      </c>
    </row>
    <row r="279" spans="1:4">
      <c r="A279" s="17">
        <v>45653</v>
      </c>
      <c r="B279" s="22">
        <v>54.17</v>
      </c>
      <c r="C279" s="23">
        <v>275110</v>
      </c>
      <c r="D279" s="5">
        <v>0.15</v>
      </c>
    </row>
    <row r="280" spans="1:4">
      <c r="A280" s="17">
        <v>45652</v>
      </c>
      <c r="B280" s="22">
        <v>54.09</v>
      </c>
      <c r="C280" s="23">
        <v>283080</v>
      </c>
      <c r="D280" s="5">
        <v>0.17</v>
      </c>
    </row>
    <row r="281" spans="1:4">
      <c r="A281" s="17">
        <v>45650</v>
      </c>
      <c r="B281" s="22">
        <v>54</v>
      </c>
      <c r="C281" s="23">
        <v>152250</v>
      </c>
      <c r="D281" s="5">
        <v>0.54</v>
      </c>
    </row>
    <row r="282" spans="1:4">
      <c r="A282" s="17">
        <v>45649</v>
      </c>
      <c r="B282" s="22">
        <v>53.71</v>
      </c>
      <c r="C282" s="23">
        <v>504360</v>
      </c>
      <c r="D282" s="5">
        <v>0.28000000000000003</v>
      </c>
    </row>
    <row r="283" spans="1:4">
      <c r="A283" s="17">
        <v>45646</v>
      </c>
      <c r="B283" s="22">
        <v>53.56</v>
      </c>
      <c r="C283" s="23">
        <v>707530</v>
      </c>
      <c r="D283" s="5">
        <v>-0.67</v>
      </c>
    </row>
    <row r="284" spans="1:4">
      <c r="A284" s="17">
        <v>45645</v>
      </c>
      <c r="B284" s="22">
        <v>53.92</v>
      </c>
      <c r="C284" s="23">
        <v>921750</v>
      </c>
      <c r="D284" s="5">
        <v>-1.8</v>
      </c>
    </row>
    <row r="285" spans="1:4">
      <c r="A285" s="17">
        <v>45644</v>
      </c>
      <c r="B285" s="22">
        <v>54.91</v>
      </c>
      <c r="C285" s="23">
        <v>975220</v>
      </c>
      <c r="D285" s="5">
        <v>-5.49</v>
      </c>
    </row>
    <row r="286" spans="1:4">
      <c r="A286" s="17">
        <v>45643</v>
      </c>
      <c r="B286" s="22">
        <v>58.1</v>
      </c>
      <c r="C286" s="23">
        <v>931670</v>
      </c>
      <c r="D286" s="5">
        <v>0.17</v>
      </c>
    </row>
    <row r="287" spans="1:4">
      <c r="A287" s="17">
        <v>45642</v>
      </c>
      <c r="B287" s="22">
        <v>58</v>
      </c>
      <c r="C287" s="23">
        <v>811520</v>
      </c>
      <c r="D287" s="5">
        <v>0.03</v>
      </c>
    </row>
    <row r="288" spans="1:4">
      <c r="A288" s="17">
        <v>45639</v>
      </c>
      <c r="B288" s="22">
        <v>57.98</v>
      </c>
      <c r="C288" s="23">
        <v>801470</v>
      </c>
      <c r="D288" s="5">
        <v>-0.74</v>
      </c>
    </row>
    <row r="289" spans="1:4">
      <c r="A289" s="17">
        <v>45638</v>
      </c>
      <c r="B289" s="22">
        <v>58.41</v>
      </c>
      <c r="C289" s="23">
        <v>1570000</v>
      </c>
      <c r="D289" s="5">
        <v>0.46</v>
      </c>
    </row>
    <row r="290" spans="1:4">
      <c r="A290" s="17">
        <v>45637</v>
      </c>
      <c r="B290" s="22">
        <v>58.14</v>
      </c>
      <c r="C290" s="23">
        <v>1310000</v>
      </c>
      <c r="D290" s="5">
        <v>4.21</v>
      </c>
    </row>
    <row r="291" spans="1:4">
      <c r="A291" s="17">
        <v>45636</v>
      </c>
      <c r="B291" s="22">
        <v>55.79</v>
      </c>
      <c r="C291" s="23">
        <v>1510000</v>
      </c>
      <c r="D291" s="5">
        <v>-2.87</v>
      </c>
    </row>
    <row r="292" spans="1:4">
      <c r="A292" s="17">
        <v>45635</v>
      </c>
      <c r="B292" s="22">
        <v>57.44</v>
      </c>
      <c r="C292" s="23">
        <v>1500000</v>
      </c>
      <c r="D292" s="5">
        <v>3.74</v>
      </c>
    </row>
    <row r="293" spans="1:4">
      <c r="A293" s="17">
        <v>45632</v>
      </c>
      <c r="B293" s="22">
        <v>55.37</v>
      </c>
      <c r="C293" s="23">
        <v>1360000</v>
      </c>
      <c r="D293" s="5">
        <v>-1.32</v>
      </c>
    </row>
    <row r="294" spans="1:4">
      <c r="A294" s="17">
        <v>45631</v>
      </c>
      <c r="B294" s="22">
        <v>56.11</v>
      </c>
      <c r="C294" s="23">
        <v>1030000</v>
      </c>
      <c r="D294" s="5">
        <v>1.1499999999999999</v>
      </c>
    </row>
    <row r="295" spans="1:4">
      <c r="A295" s="17">
        <v>45630</v>
      </c>
      <c r="B295" s="22">
        <v>55.47</v>
      </c>
      <c r="C295" s="23">
        <v>1620000</v>
      </c>
      <c r="D295" s="5">
        <v>-1</v>
      </c>
    </row>
    <row r="296" spans="1:4">
      <c r="A296" s="17">
        <v>45629</v>
      </c>
      <c r="B296" s="22">
        <v>56.03</v>
      </c>
      <c r="C296" s="23">
        <v>1660000</v>
      </c>
      <c r="D296" s="5">
        <v>5.18</v>
      </c>
    </row>
    <row r="297" spans="1:4">
      <c r="A297" s="17">
        <v>45628</v>
      </c>
      <c r="B297" s="22">
        <v>53.27</v>
      </c>
      <c r="C297" s="23">
        <v>859720</v>
      </c>
      <c r="D297" s="5">
        <v>0.08</v>
      </c>
    </row>
    <row r="298" spans="1:4">
      <c r="A298" s="17">
        <v>45625</v>
      </c>
      <c r="B298" s="22">
        <v>53.23</v>
      </c>
      <c r="C298" s="23">
        <v>623090</v>
      </c>
      <c r="D298" s="5">
        <v>-0.26</v>
      </c>
    </row>
    <row r="299" spans="1:4">
      <c r="A299" s="17">
        <v>45623</v>
      </c>
      <c r="B299" s="22">
        <v>53.37</v>
      </c>
      <c r="C299" s="23">
        <v>811240</v>
      </c>
      <c r="D299" s="5">
        <v>-0.28000000000000003</v>
      </c>
    </row>
    <row r="300" spans="1:4">
      <c r="A300" s="17">
        <v>45622</v>
      </c>
      <c r="B300" s="22">
        <v>53.52</v>
      </c>
      <c r="C300" s="23">
        <v>1750000</v>
      </c>
      <c r="D300" s="5">
        <v>-3.5</v>
      </c>
    </row>
    <row r="301" spans="1:4">
      <c r="A301" s="17">
        <v>45621</v>
      </c>
      <c r="B301" s="22">
        <v>55.46</v>
      </c>
      <c r="C301" s="23">
        <v>2510000</v>
      </c>
      <c r="D301" s="5">
        <v>-1.86</v>
      </c>
    </row>
    <row r="302" spans="1:4">
      <c r="A302" s="17">
        <v>45618</v>
      </c>
      <c r="B302" s="22">
        <v>56.51</v>
      </c>
      <c r="C302" s="23">
        <v>2300000</v>
      </c>
      <c r="D302" s="5">
        <v>9.16</v>
      </c>
    </row>
    <row r="303" spans="1:4">
      <c r="A303" s="17">
        <v>45617</v>
      </c>
      <c r="B303" s="22">
        <v>51.77</v>
      </c>
      <c r="C303" s="23">
        <v>1350000</v>
      </c>
      <c r="D303" s="5">
        <v>1.43</v>
      </c>
    </row>
    <row r="304" spans="1:4">
      <c r="A304" s="17">
        <v>45616</v>
      </c>
      <c r="B304" s="22">
        <v>51.04</v>
      </c>
      <c r="C304" s="23">
        <v>1080000</v>
      </c>
      <c r="D304" s="5">
        <v>2.33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61"/>
  <sheetViews>
    <sheetView workbookViewId="0">
      <selection activeCell="A2" sqref="A2:D561"/>
    </sheetView>
  </sheetViews>
  <sheetFormatPr baseColWidth="10" defaultColWidth="9.140625" defaultRowHeight="15"/>
  <cols>
    <col min="1" max="1" width="18.140625" style="17" bestFit="1" customWidth="1"/>
    <col min="2" max="2" width="9.140625" style="4"/>
    <col min="3" max="3" width="12.7109375" style="18" bestFit="1" customWidth="1"/>
    <col min="4" max="4" width="9.140625" style="5"/>
  </cols>
  <sheetData>
    <row r="1" spans="1:4">
      <c r="A1" s="19" t="s">
        <v>0</v>
      </c>
      <c r="B1" s="20" t="s">
        <v>1</v>
      </c>
      <c r="C1" s="21" t="s">
        <v>2</v>
      </c>
      <c r="D1" s="13" t="s">
        <v>3</v>
      </c>
    </row>
    <row r="2" spans="1:4">
      <c r="A2" s="17">
        <v>46059</v>
      </c>
      <c r="B2" s="22">
        <v>55.94</v>
      </c>
      <c r="C2" s="23">
        <v>791710</v>
      </c>
      <c r="D2" s="5">
        <v>3.32</v>
      </c>
    </row>
    <row r="3" spans="1:4">
      <c r="A3" s="17">
        <v>46058</v>
      </c>
      <c r="B3" s="22">
        <v>54.14</v>
      </c>
      <c r="C3" s="23">
        <v>1980000</v>
      </c>
      <c r="D3" s="5">
        <v>-4.75</v>
      </c>
    </row>
    <row r="4" spans="1:4">
      <c r="A4" s="17">
        <v>46057</v>
      </c>
      <c r="B4" s="22">
        <v>56.84</v>
      </c>
      <c r="C4" s="23">
        <v>2150000</v>
      </c>
      <c r="D4" s="5">
        <v>1.5</v>
      </c>
    </row>
    <row r="5" spans="1:4">
      <c r="A5" s="17">
        <v>46056</v>
      </c>
      <c r="B5" s="22">
        <v>56</v>
      </c>
      <c r="C5" s="23">
        <v>6550000</v>
      </c>
      <c r="D5" s="5">
        <v>-7.02</v>
      </c>
    </row>
    <row r="6" spans="1:4">
      <c r="A6" s="17">
        <v>46055</v>
      </c>
      <c r="B6" s="22">
        <v>60.23</v>
      </c>
      <c r="C6" s="23">
        <v>1680000</v>
      </c>
      <c r="D6" s="5">
        <v>-0.43</v>
      </c>
    </row>
    <row r="7" spans="1:4">
      <c r="A7" s="17">
        <v>46052</v>
      </c>
      <c r="B7" s="22">
        <v>60.49</v>
      </c>
      <c r="C7" s="23">
        <v>1420000</v>
      </c>
      <c r="D7" s="5">
        <v>-0.17</v>
      </c>
    </row>
    <row r="8" spans="1:4">
      <c r="A8" s="17">
        <v>46051</v>
      </c>
      <c r="B8" s="22">
        <v>60.59</v>
      </c>
      <c r="C8" s="23">
        <v>2050000</v>
      </c>
      <c r="D8" s="5">
        <v>1.93</v>
      </c>
    </row>
    <row r="9" spans="1:4">
      <c r="A9" s="17">
        <v>46050</v>
      </c>
      <c r="B9" s="22">
        <v>59.44</v>
      </c>
      <c r="C9" s="23">
        <v>1430000</v>
      </c>
      <c r="D9" s="5">
        <v>3.43</v>
      </c>
    </row>
    <row r="10" spans="1:4">
      <c r="A10" s="17">
        <v>46049</v>
      </c>
      <c r="B10" s="22">
        <v>57.47</v>
      </c>
      <c r="C10" s="23">
        <v>2060000</v>
      </c>
      <c r="D10" s="5">
        <v>6.23</v>
      </c>
    </row>
    <row r="11" spans="1:4">
      <c r="A11" s="17">
        <v>46048</v>
      </c>
      <c r="B11" s="22">
        <v>54.1</v>
      </c>
      <c r="C11" s="23">
        <v>971090</v>
      </c>
      <c r="D11" s="5">
        <v>2.27</v>
      </c>
    </row>
    <row r="12" spans="1:4">
      <c r="A12" s="17">
        <v>46045</v>
      </c>
      <c r="B12" s="22">
        <v>52.9</v>
      </c>
      <c r="C12" s="23">
        <v>631040</v>
      </c>
      <c r="D12" s="5">
        <v>2.52</v>
      </c>
    </row>
    <row r="13" spans="1:4">
      <c r="A13" s="17">
        <v>46044</v>
      </c>
      <c r="B13" s="22">
        <v>51.6</v>
      </c>
      <c r="C13" s="23">
        <v>685110</v>
      </c>
      <c r="D13" s="5">
        <v>-1.58</v>
      </c>
    </row>
    <row r="14" spans="1:4">
      <c r="A14" s="17">
        <v>46043</v>
      </c>
      <c r="B14" s="22">
        <v>52.43</v>
      </c>
      <c r="C14" s="23">
        <v>1030000</v>
      </c>
      <c r="D14" s="5">
        <v>6.03</v>
      </c>
    </row>
    <row r="15" spans="1:4">
      <c r="A15" s="17">
        <v>46042</v>
      </c>
      <c r="B15" s="22">
        <v>49.45</v>
      </c>
      <c r="C15" s="23">
        <v>771180</v>
      </c>
      <c r="D15" s="5">
        <v>0.84</v>
      </c>
    </row>
    <row r="16" spans="1:4">
      <c r="A16" s="17">
        <v>46038</v>
      </c>
      <c r="B16" s="22">
        <v>49.04</v>
      </c>
      <c r="C16" s="23">
        <v>414900</v>
      </c>
      <c r="D16" s="5">
        <v>0.39</v>
      </c>
    </row>
    <row r="17" spans="1:4">
      <c r="A17" s="17">
        <v>46037</v>
      </c>
      <c r="B17" s="22">
        <v>48.85</v>
      </c>
      <c r="C17" s="23">
        <v>572360</v>
      </c>
      <c r="D17" s="5">
        <v>-0.27</v>
      </c>
    </row>
    <row r="18" spans="1:4">
      <c r="A18" s="17">
        <v>46036</v>
      </c>
      <c r="B18" s="22">
        <v>48.98</v>
      </c>
      <c r="C18" s="23">
        <v>1010000</v>
      </c>
      <c r="D18" s="5">
        <v>-1.94</v>
      </c>
    </row>
    <row r="19" spans="1:4">
      <c r="A19" s="17">
        <v>46035</v>
      </c>
      <c r="B19" s="22">
        <v>49.95</v>
      </c>
      <c r="C19" s="23">
        <v>1410000</v>
      </c>
      <c r="D19" s="5">
        <v>4.21</v>
      </c>
    </row>
    <row r="20" spans="1:4">
      <c r="A20" s="17">
        <v>46034</v>
      </c>
      <c r="B20" s="22">
        <v>47.93</v>
      </c>
      <c r="C20" s="23">
        <v>887260</v>
      </c>
      <c r="D20" s="5">
        <v>3.81</v>
      </c>
    </row>
    <row r="21" spans="1:4">
      <c r="A21" s="17">
        <v>46031</v>
      </c>
      <c r="B21" s="22">
        <v>46.17</v>
      </c>
      <c r="C21" s="23">
        <v>655020</v>
      </c>
      <c r="D21" s="5">
        <v>2.0099999999999998</v>
      </c>
    </row>
    <row r="22" spans="1:4">
      <c r="A22" s="17">
        <v>46030</v>
      </c>
      <c r="B22" s="22">
        <v>45.26</v>
      </c>
      <c r="C22" s="23">
        <v>849780</v>
      </c>
      <c r="D22" s="5">
        <v>3.14</v>
      </c>
    </row>
    <row r="23" spans="1:4">
      <c r="A23" s="17">
        <v>46029</v>
      </c>
      <c r="B23" s="22">
        <v>43.88</v>
      </c>
      <c r="C23" s="23">
        <v>1490000</v>
      </c>
      <c r="D23" s="5">
        <v>-4.38</v>
      </c>
    </row>
    <row r="24" spans="1:4">
      <c r="A24" s="17">
        <v>46028</v>
      </c>
      <c r="B24" s="22">
        <v>45.89</v>
      </c>
      <c r="C24" s="23">
        <v>746470</v>
      </c>
      <c r="D24" s="5">
        <v>-2.92</v>
      </c>
    </row>
    <row r="25" spans="1:4">
      <c r="A25" s="17">
        <v>46027</v>
      </c>
      <c r="B25" s="22">
        <v>47.27</v>
      </c>
      <c r="C25" s="23">
        <v>1540000</v>
      </c>
      <c r="D25" s="5">
        <v>-3.16</v>
      </c>
    </row>
    <row r="26" spans="1:4">
      <c r="A26" s="17">
        <v>46024</v>
      </c>
      <c r="B26" s="22">
        <v>48.81</v>
      </c>
      <c r="C26" s="23">
        <v>505130</v>
      </c>
      <c r="D26" s="5">
        <v>0.31</v>
      </c>
    </row>
    <row r="27" spans="1:4">
      <c r="A27" s="17">
        <v>46022</v>
      </c>
      <c r="B27" s="22">
        <v>48.66</v>
      </c>
      <c r="C27" s="23">
        <v>391350</v>
      </c>
      <c r="D27" s="5">
        <v>0.39</v>
      </c>
    </row>
    <row r="28" spans="1:4">
      <c r="A28" s="17">
        <v>46021</v>
      </c>
      <c r="B28" s="22">
        <v>48.47</v>
      </c>
      <c r="C28" s="23">
        <v>297110</v>
      </c>
      <c r="D28" s="5">
        <v>1.1499999999999999</v>
      </c>
    </row>
    <row r="29" spans="1:4">
      <c r="A29" s="17">
        <v>46020</v>
      </c>
      <c r="B29" s="22">
        <v>47.92</v>
      </c>
      <c r="C29" s="23">
        <v>479470</v>
      </c>
      <c r="D29" s="5">
        <v>0.97</v>
      </c>
    </row>
    <row r="30" spans="1:4">
      <c r="A30" s="17">
        <v>46017</v>
      </c>
      <c r="B30" s="22">
        <v>47.46</v>
      </c>
      <c r="C30" s="23">
        <v>553510</v>
      </c>
      <c r="D30" s="5">
        <v>0.36</v>
      </c>
    </row>
    <row r="31" spans="1:4">
      <c r="A31" s="17">
        <v>46015</v>
      </c>
      <c r="B31" s="22">
        <v>47.29</v>
      </c>
      <c r="C31" s="23">
        <v>117460</v>
      </c>
      <c r="D31" s="5">
        <v>0.32</v>
      </c>
    </row>
    <row r="32" spans="1:4">
      <c r="A32" s="17">
        <v>46014</v>
      </c>
      <c r="B32" s="22">
        <v>47.14</v>
      </c>
      <c r="C32" s="23">
        <v>423960</v>
      </c>
      <c r="D32" s="5">
        <v>1.2</v>
      </c>
    </row>
    <row r="33" spans="1:4">
      <c r="A33" s="17">
        <v>46013</v>
      </c>
      <c r="B33" s="22">
        <v>46.58</v>
      </c>
      <c r="C33" s="23">
        <v>619410</v>
      </c>
      <c r="D33" s="5">
        <v>0.41</v>
      </c>
    </row>
    <row r="34" spans="1:4">
      <c r="A34" s="17">
        <v>46010</v>
      </c>
      <c r="B34" s="22">
        <v>46.39</v>
      </c>
      <c r="C34" s="23">
        <v>514980</v>
      </c>
      <c r="D34" s="5">
        <v>0.15</v>
      </c>
    </row>
    <row r="35" spans="1:4">
      <c r="A35" s="17">
        <v>46009</v>
      </c>
      <c r="B35" s="22">
        <v>46.32</v>
      </c>
      <c r="C35" s="23">
        <v>981400</v>
      </c>
      <c r="D35" s="5">
        <v>0.92</v>
      </c>
    </row>
    <row r="36" spans="1:4">
      <c r="A36" s="17">
        <v>46008</v>
      </c>
      <c r="B36" s="22">
        <v>45.9</v>
      </c>
      <c r="C36" s="23">
        <v>843510</v>
      </c>
      <c r="D36" s="5">
        <v>-1.94</v>
      </c>
    </row>
    <row r="37" spans="1:4">
      <c r="A37" s="17">
        <v>46007</v>
      </c>
      <c r="B37" s="22">
        <v>46.81</v>
      </c>
      <c r="C37" s="23">
        <v>866690</v>
      </c>
      <c r="D37" s="5">
        <v>-4.99</v>
      </c>
    </row>
    <row r="38" spans="1:4">
      <c r="A38" s="17">
        <v>46006</v>
      </c>
      <c r="B38" s="22">
        <v>49.27</v>
      </c>
      <c r="C38" s="23">
        <v>425630</v>
      </c>
      <c r="D38" s="5">
        <v>-0.38</v>
      </c>
    </row>
    <row r="39" spans="1:4">
      <c r="A39" s="17">
        <v>46003</v>
      </c>
      <c r="B39" s="22">
        <v>49.46</v>
      </c>
      <c r="C39" s="23">
        <v>386450</v>
      </c>
      <c r="D39" s="5">
        <v>-0.92</v>
      </c>
    </row>
    <row r="40" spans="1:4">
      <c r="A40" s="17">
        <v>46002</v>
      </c>
      <c r="B40" s="22">
        <v>49.92</v>
      </c>
      <c r="C40" s="23">
        <v>673070</v>
      </c>
      <c r="D40" s="5">
        <v>-2.94</v>
      </c>
    </row>
    <row r="41" spans="1:4">
      <c r="A41" s="17">
        <v>46001</v>
      </c>
      <c r="B41" s="22">
        <v>51.43</v>
      </c>
      <c r="C41" s="23">
        <v>558260</v>
      </c>
      <c r="D41" s="5">
        <v>0.55000000000000004</v>
      </c>
    </row>
    <row r="42" spans="1:4">
      <c r="A42" s="17">
        <v>46000</v>
      </c>
      <c r="B42" s="22">
        <v>51.15</v>
      </c>
      <c r="C42" s="23">
        <v>418330</v>
      </c>
      <c r="D42" s="5">
        <v>0.49</v>
      </c>
    </row>
    <row r="43" spans="1:4">
      <c r="A43" s="17">
        <v>45999</v>
      </c>
      <c r="B43" s="22">
        <v>50.9</v>
      </c>
      <c r="C43" s="23">
        <v>358800</v>
      </c>
      <c r="D43" s="5">
        <v>0.04</v>
      </c>
    </row>
    <row r="44" spans="1:4">
      <c r="A44" s="17">
        <v>45996</v>
      </c>
      <c r="B44" s="22">
        <v>50.88</v>
      </c>
      <c r="C44" s="23">
        <v>1130000</v>
      </c>
      <c r="D44" s="5">
        <v>-1.76</v>
      </c>
    </row>
    <row r="45" spans="1:4">
      <c r="A45" s="17">
        <v>45995</v>
      </c>
      <c r="B45" s="22">
        <v>51.79</v>
      </c>
      <c r="C45" s="23">
        <v>1120000</v>
      </c>
      <c r="D45" s="5">
        <v>-2.83</v>
      </c>
    </row>
    <row r="46" spans="1:4">
      <c r="A46" s="17">
        <v>45994</v>
      </c>
      <c r="B46" s="22">
        <v>53.3</v>
      </c>
      <c r="C46" s="23">
        <v>1410000</v>
      </c>
      <c r="D46" s="5">
        <v>6.62</v>
      </c>
    </row>
    <row r="47" spans="1:4">
      <c r="A47" s="17">
        <v>45993</v>
      </c>
      <c r="B47" s="22">
        <v>49.99</v>
      </c>
      <c r="C47" s="23">
        <v>876310</v>
      </c>
      <c r="D47" s="5">
        <v>1.83</v>
      </c>
    </row>
    <row r="48" spans="1:4">
      <c r="A48" s="17">
        <v>45992</v>
      </c>
      <c r="B48" s="22">
        <v>49.09</v>
      </c>
      <c r="C48" s="23">
        <v>561620</v>
      </c>
      <c r="D48" s="5">
        <v>-0.14000000000000001</v>
      </c>
    </row>
    <row r="49" spans="1:4">
      <c r="A49" s="17">
        <v>45989</v>
      </c>
      <c r="B49" s="22">
        <v>49.16</v>
      </c>
      <c r="C49" s="23">
        <v>522070.00000000012</v>
      </c>
      <c r="D49" s="5">
        <v>1.3</v>
      </c>
    </row>
    <row r="50" spans="1:4">
      <c r="A50" s="17">
        <v>45987</v>
      </c>
      <c r="B50" s="22">
        <v>48.53</v>
      </c>
      <c r="C50" s="23">
        <v>1120000</v>
      </c>
      <c r="D50" s="5">
        <v>2.41</v>
      </c>
    </row>
    <row r="51" spans="1:4">
      <c r="A51" s="17">
        <v>45986</v>
      </c>
      <c r="B51" s="22">
        <v>47.39</v>
      </c>
      <c r="C51" s="23">
        <v>942950</v>
      </c>
      <c r="D51" s="5">
        <v>-1.7</v>
      </c>
    </row>
    <row r="52" spans="1:4">
      <c r="A52" s="17">
        <v>45985</v>
      </c>
      <c r="B52" s="22">
        <v>48.21</v>
      </c>
      <c r="C52" s="23">
        <v>686380</v>
      </c>
      <c r="D52" s="5">
        <v>0</v>
      </c>
    </row>
    <row r="53" spans="1:4">
      <c r="A53" s="17">
        <v>45982</v>
      </c>
      <c r="B53" s="22">
        <v>48.21</v>
      </c>
      <c r="C53" s="23">
        <v>885010</v>
      </c>
      <c r="D53" s="5">
        <v>-3.43</v>
      </c>
    </row>
    <row r="54" spans="1:4">
      <c r="A54" s="17">
        <v>45981</v>
      </c>
      <c r="B54" s="22">
        <v>49.92</v>
      </c>
      <c r="C54" s="23">
        <v>1050000</v>
      </c>
      <c r="D54" s="5">
        <v>-2.27</v>
      </c>
    </row>
    <row r="55" spans="1:4">
      <c r="A55" s="17">
        <v>45980</v>
      </c>
      <c r="B55" s="22">
        <v>51.08</v>
      </c>
      <c r="C55" s="23">
        <v>1120000</v>
      </c>
      <c r="D55" s="5">
        <v>2.2799999999999998</v>
      </c>
    </row>
    <row r="56" spans="1:4">
      <c r="A56" s="17">
        <v>45979</v>
      </c>
      <c r="B56" s="22">
        <v>49.94</v>
      </c>
      <c r="C56" s="23">
        <v>964370</v>
      </c>
      <c r="D56" s="5">
        <v>1.86</v>
      </c>
    </row>
    <row r="57" spans="1:4">
      <c r="A57" s="17">
        <v>45978</v>
      </c>
      <c r="B57" s="22">
        <v>49.03</v>
      </c>
      <c r="C57" s="23">
        <v>745470</v>
      </c>
      <c r="D57" s="5">
        <v>0.39</v>
      </c>
    </row>
    <row r="58" spans="1:4">
      <c r="A58" s="17">
        <v>45975</v>
      </c>
      <c r="B58" s="22">
        <v>48.84</v>
      </c>
      <c r="C58" s="23">
        <v>1140000</v>
      </c>
      <c r="D58" s="5">
        <v>2.71</v>
      </c>
    </row>
    <row r="59" spans="1:4">
      <c r="A59" s="17">
        <v>45974</v>
      </c>
      <c r="B59" s="22">
        <v>47.55</v>
      </c>
      <c r="C59" s="23">
        <v>1410000</v>
      </c>
      <c r="D59" s="5">
        <v>-3.96</v>
      </c>
    </row>
    <row r="60" spans="1:4">
      <c r="A60" s="17">
        <v>45973</v>
      </c>
      <c r="B60" s="22">
        <v>49.51</v>
      </c>
      <c r="C60" s="23">
        <v>1940000</v>
      </c>
      <c r="D60" s="5">
        <v>-2.65</v>
      </c>
    </row>
    <row r="61" spans="1:4">
      <c r="A61" s="17">
        <v>45972</v>
      </c>
      <c r="B61" s="22">
        <v>50.86</v>
      </c>
      <c r="C61" s="23">
        <v>1820000</v>
      </c>
      <c r="D61" s="5">
        <v>3.58</v>
      </c>
    </row>
    <row r="62" spans="1:4">
      <c r="A62" s="17">
        <v>45971</v>
      </c>
      <c r="B62" s="22">
        <v>49.1</v>
      </c>
      <c r="C62" s="23">
        <v>899120</v>
      </c>
      <c r="D62" s="5">
        <v>2.08</v>
      </c>
    </row>
    <row r="63" spans="1:4">
      <c r="A63" s="17">
        <v>45968</v>
      </c>
      <c r="B63" s="22">
        <v>48.1</v>
      </c>
      <c r="C63" s="23">
        <v>993690</v>
      </c>
      <c r="D63" s="5">
        <v>-0.43</v>
      </c>
    </row>
    <row r="64" spans="1:4">
      <c r="A64" s="17">
        <v>45967</v>
      </c>
      <c r="B64" s="22">
        <v>48.31</v>
      </c>
      <c r="C64" s="23">
        <v>561600</v>
      </c>
      <c r="D64" s="5">
        <v>-0.56000000000000005</v>
      </c>
    </row>
    <row r="65" spans="1:4">
      <c r="A65" s="17">
        <v>45966</v>
      </c>
      <c r="B65" s="22">
        <v>48.58</v>
      </c>
      <c r="C65" s="23">
        <v>1040000</v>
      </c>
      <c r="D65" s="5">
        <v>0</v>
      </c>
    </row>
    <row r="66" spans="1:4">
      <c r="A66" s="17">
        <v>45965</v>
      </c>
      <c r="B66" s="22">
        <v>48.58</v>
      </c>
      <c r="C66" s="23">
        <v>1090000</v>
      </c>
      <c r="D66" s="5">
        <v>-1.02</v>
      </c>
    </row>
    <row r="67" spans="1:4">
      <c r="A67" s="17">
        <v>45964</v>
      </c>
      <c r="B67" s="22">
        <v>49.08</v>
      </c>
      <c r="C67" s="23">
        <v>1540000</v>
      </c>
      <c r="D67" s="5">
        <v>1.3</v>
      </c>
    </row>
    <row r="68" spans="1:4">
      <c r="A68" s="17">
        <v>45961</v>
      </c>
      <c r="B68" s="22">
        <v>48.45</v>
      </c>
      <c r="C68" s="23">
        <v>1520000</v>
      </c>
      <c r="D68" s="5">
        <v>2.67</v>
      </c>
    </row>
    <row r="69" spans="1:4">
      <c r="A69" s="17">
        <v>45960</v>
      </c>
      <c r="B69" s="22">
        <v>47.19</v>
      </c>
      <c r="C69" s="23">
        <v>1060000</v>
      </c>
      <c r="D69" s="5">
        <v>-2.58</v>
      </c>
    </row>
    <row r="70" spans="1:4">
      <c r="A70" s="17">
        <v>45959</v>
      </c>
      <c r="B70" s="22">
        <v>48.44</v>
      </c>
      <c r="C70" s="23">
        <v>2130000</v>
      </c>
      <c r="D70" s="5">
        <v>1.98</v>
      </c>
    </row>
    <row r="71" spans="1:4">
      <c r="A71" s="17">
        <v>45958</v>
      </c>
      <c r="B71" s="22">
        <v>47.5</v>
      </c>
      <c r="C71" s="23">
        <v>2140000</v>
      </c>
      <c r="D71" s="5">
        <v>0</v>
      </c>
    </row>
    <row r="72" spans="1:4">
      <c r="A72" s="17">
        <v>45957</v>
      </c>
      <c r="B72" s="22">
        <v>47.5</v>
      </c>
      <c r="C72" s="23">
        <v>8090000</v>
      </c>
      <c r="D72" s="5">
        <v>18.66</v>
      </c>
    </row>
    <row r="73" spans="1:4">
      <c r="A73" s="17">
        <v>45954</v>
      </c>
      <c r="B73" s="22">
        <v>40.03</v>
      </c>
      <c r="C73" s="23">
        <v>2100000</v>
      </c>
      <c r="D73" s="5">
        <v>0.73</v>
      </c>
    </row>
    <row r="74" spans="1:4">
      <c r="A74" s="17">
        <v>45953</v>
      </c>
      <c r="B74" s="22">
        <v>39.74</v>
      </c>
      <c r="C74" s="23">
        <v>3790000</v>
      </c>
      <c r="D74" s="5">
        <v>11.47</v>
      </c>
    </row>
    <row r="75" spans="1:4">
      <c r="A75" s="17">
        <v>45952</v>
      </c>
      <c r="B75" s="22">
        <v>35.65</v>
      </c>
      <c r="C75" s="23">
        <v>1400000</v>
      </c>
      <c r="D75" s="5">
        <v>1.8</v>
      </c>
    </row>
    <row r="76" spans="1:4">
      <c r="A76" s="17">
        <v>45951</v>
      </c>
      <c r="B76" s="22">
        <v>35.020000000000003</v>
      </c>
      <c r="C76" s="23">
        <v>864280</v>
      </c>
      <c r="D76" s="5">
        <v>-0.4</v>
      </c>
    </row>
    <row r="77" spans="1:4">
      <c r="A77" s="17">
        <v>45950</v>
      </c>
      <c r="B77" s="22">
        <v>35.159999999999997</v>
      </c>
      <c r="C77" s="23">
        <v>710450</v>
      </c>
      <c r="D77" s="5">
        <v>-0.73</v>
      </c>
    </row>
    <row r="78" spans="1:4">
      <c r="A78" s="17">
        <v>45947</v>
      </c>
      <c r="B78" s="22">
        <v>35.42</v>
      </c>
      <c r="C78" s="23">
        <v>634710</v>
      </c>
      <c r="D78" s="5">
        <v>-0.59</v>
      </c>
    </row>
    <row r="79" spans="1:4">
      <c r="A79" s="17">
        <v>45946</v>
      </c>
      <c r="B79" s="22">
        <v>35.630000000000003</v>
      </c>
      <c r="C79" s="23">
        <v>708970</v>
      </c>
      <c r="D79" s="5">
        <v>-0.86</v>
      </c>
    </row>
    <row r="80" spans="1:4">
      <c r="A80" s="17">
        <v>45945</v>
      </c>
      <c r="B80" s="22">
        <v>35.94</v>
      </c>
      <c r="C80" s="23">
        <v>1210000</v>
      </c>
      <c r="D80" s="5">
        <v>2.16</v>
      </c>
    </row>
    <row r="81" spans="1:4">
      <c r="A81" s="17">
        <v>45944</v>
      </c>
      <c r="B81" s="22">
        <v>35.18</v>
      </c>
      <c r="C81" s="23">
        <v>2120000</v>
      </c>
      <c r="D81" s="5">
        <v>-7.79</v>
      </c>
    </row>
    <row r="82" spans="1:4">
      <c r="A82" s="17">
        <v>45943</v>
      </c>
      <c r="B82" s="22">
        <v>38.15</v>
      </c>
      <c r="C82" s="23">
        <v>1090000</v>
      </c>
      <c r="D82" s="5">
        <v>2.66</v>
      </c>
    </row>
    <row r="83" spans="1:4">
      <c r="A83" s="17">
        <v>45940</v>
      </c>
      <c r="B83" s="22">
        <v>37.159999999999997</v>
      </c>
      <c r="C83" s="23">
        <v>3100000</v>
      </c>
      <c r="D83" s="5">
        <v>-0.3</v>
      </c>
    </row>
    <row r="84" spans="1:4">
      <c r="A84" s="17">
        <v>45939</v>
      </c>
      <c r="B84" s="22">
        <v>37.270000000000003</v>
      </c>
      <c r="C84" s="23">
        <v>1780000</v>
      </c>
      <c r="D84" s="5">
        <v>6.88</v>
      </c>
    </row>
    <row r="85" spans="1:4">
      <c r="A85" s="17">
        <v>45938</v>
      </c>
      <c r="B85" s="22">
        <v>34.869999999999997</v>
      </c>
      <c r="C85" s="23">
        <v>873730</v>
      </c>
      <c r="D85" s="5">
        <v>1.04</v>
      </c>
    </row>
    <row r="86" spans="1:4">
      <c r="A86" s="17">
        <v>45937</v>
      </c>
      <c r="B86" s="22">
        <v>34.51</v>
      </c>
      <c r="C86" s="23">
        <v>1030000</v>
      </c>
      <c r="D86" s="5">
        <v>-2.82</v>
      </c>
    </row>
    <row r="87" spans="1:4">
      <c r="A87" s="17">
        <v>45936</v>
      </c>
      <c r="B87" s="22">
        <v>35.51</v>
      </c>
      <c r="C87" s="23">
        <v>896520</v>
      </c>
      <c r="D87" s="5">
        <v>2.84</v>
      </c>
    </row>
    <row r="88" spans="1:4">
      <c r="A88" s="17">
        <v>45933</v>
      </c>
      <c r="B88" s="22">
        <v>34.53</v>
      </c>
      <c r="C88" s="23">
        <v>1230000</v>
      </c>
      <c r="D88" s="5">
        <v>0.67</v>
      </c>
    </row>
    <row r="89" spans="1:4">
      <c r="A89" s="17">
        <v>45932</v>
      </c>
      <c r="B89" s="22">
        <v>34.299999999999997</v>
      </c>
      <c r="C89" s="23">
        <v>2250000</v>
      </c>
      <c r="D89" s="5">
        <v>1.75</v>
      </c>
    </row>
    <row r="90" spans="1:4">
      <c r="A90" s="17">
        <v>45931</v>
      </c>
      <c r="B90" s="22">
        <v>33.71</v>
      </c>
      <c r="C90" s="23">
        <v>1270000</v>
      </c>
      <c r="D90" s="5">
        <v>-2.0099999999999998</v>
      </c>
    </row>
    <row r="91" spans="1:4">
      <c r="A91" s="17">
        <v>45930</v>
      </c>
      <c r="B91" s="22">
        <v>34.4</v>
      </c>
      <c r="C91" s="23">
        <v>1500000</v>
      </c>
      <c r="D91" s="5">
        <v>-2.82</v>
      </c>
    </row>
    <row r="92" spans="1:4">
      <c r="A92" s="17">
        <v>45929</v>
      </c>
      <c r="B92" s="22">
        <v>35.4</v>
      </c>
      <c r="C92" s="23">
        <v>988650</v>
      </c>
      <c r="D92" s="5">
        <v>-2.13</v>
      </c>
    </row>
    <row r="93" spans="1:4">
      <c r="A93" s="17">
        <v>45926</v>
      </c>
      <c r="B93" s="22">
        <v>36.17</v>
      </c>
      <c r="C93" s="23">
        <v>1240000</v>
      </c>
      <c r="D93" s="5">
        <v>-2.3199999999999998</v>
      </c>
    </row>
    <row r="94" spans="1:4">
      <c r="A94" s="17">
        <v>45925</v>
      </c>
      <c r="B94" s="22">
        <v>37.03</v>
      </c>
      <c r="C94" s="23">
        <v>966560</v>
      </c>
      <c r="D94" s="5">
        <v>-2.68</v>
      </c>
    </row>
    <row r="95" spans="1:4">
      <c r="A95" s="17">
        <v>45924</v>
      </c>
      <c r="B95" s="22">
        <v>38.049999999999997</v>
      </c>
      <c r="C95" s="23">
        <v>1770000</v>
      </c>
      <c r="D95" s="5">
        <v>1.9</v>
      </c>
    </row>
    <row r="96" spans="1:4">
      <c r="A96" s="17">
        <v>45923</v>
      </c>
      <c r="B96" s="22">
        <v>37.340000000000003</v>
      </c>
      <c r="C96" s="23">
        <v>1890000</v>
      </c>
      <c r="D96" s="5">
        <v>2.27</v>
      </c>
    </row>
    <row r="97" spans="1:4">
      <c r="A97" s="17">
        <v>45922</v>
      </c>
      <c r="B97" s="22">
        <v>36.51</v>
      </c>
      <c r="C97" s="23">
        <v>2430000</v>
      </c>
      <c r="D97" s="5">
        <v>8.34</v>
      </c>
    </row>
    <row r="98" spans="1:4">
      <c r="A98" s="17">
        <v>45919</v>
      </c>
      <c r="B98" s="22">
        <v>33.700000000000003</v>
      </c>
      <c r="C98" s="23">
        <v>2060000</v>
      </c>
      <c r="D98" s="5">
        <v>-2.99</v>
      </c>
    </row>
    <row r="99" spans="1:4">
      <c r="A99" s="17">
        <v>45918</v>
      </c>
      <c r="B99" s="22">
        <v>34.74</v>
      </c>
      <c r="C99" s="23">
        <v>2130000</v>
      </c>
      <c r="D99" s="5">
        <v>-5.26</v>
      </c>
    </row>
    <row r="100" spans="1:4">
      <c r="A100" s="17">
        <v>45917</v>
      </c>
      <c r="B100" s="22">
        <v>36.67</v>
      </c>
      <c r="C100" s="23">
        <v>928850</v>
      </c>
      <c r="D100" s="5">
        <v>0.05</v>
      </c>
    </row>
    <row r="101" spans="1:4">
      <c r="A101" s="17">
        <v>45916</v>
      </c>
      <c r="B101" s="22">
        <v>36.65</v>
      </c>
      <c r="C101" s="23">
        <v>810610</v>
      </c>
      <c r="D101" s="5">
        <v>3.47</v>
      </c>
    </row>
    <row r="102" spans="1:4">
      <c r="A102" s="17">
        <v>45915</v>
      </c>
      <c r="B102" s="22">
        <v>35.42</v>
      </c>
      <c r="C102" s="23">
        <v>1000000</v>
      </c>
      <c r="D102" s="5">
        <v>-0.81</v>
      </c>
    </row>
    <row r="103" spans="1:4">
      <c r="A103" s="17">
        <v>45912</v>
      </c>
      <c r="B103" s="22">
        <v>35.71</v>
      </c>
      <c r="C103" s="23">
        <v>890100</v>
      </c>
      <c r="D103" s="5">
        <v>-4.16</v>
      </c>
    </row>
    <row r="104" spans="1:4">
      <c r="A104" s="17">
        <v>45911</v>
      </c>
      <c r="B104" s="22">
        <v>37.26</v>
      </c>
      <c r="C104" s="23">
        <v>1280000</v>
      </c>
      <c r="D104" s="5">
        <v>-2.38</v>
      </c>
    </row>
    <row r="105" spans="1:4">
      <c r="A105" s="17">
        <v>45910</v>
      </c>
      <c r="B105" s="22">
        <v>38.17</v>
      </c>
      <c r="C105" s="23">
        <v>1800000</v>
      </c>
      <c r="D105" s="5">
        <v>7.07</v>
      </c>
    </row>
    <row r="106" spans="1:4">
      <c r="A106" s="17">
        <v>45909</v>
      </c>
      <c r="B106" s="22">
        <v>35.65</v>
      </c>
      <c r="C106" s="23">
        <v>1520000</v>
      </c>
      <c r="D106" s="5">
        <v>1.92</v>
      </c>
    </row>
    <row r="107" spans="1:4">
      <c r="A107" s="17">
        <v>45908</v>
      </c>
      <c r="B107" s="22">
        <v>34.979999999999997</v>
      </c>
      <c r="C107" s="23">
        <v>5010000</v>
      </c>
      <c r="D107" s="5">
        <v>-8.14</v>
      </c>
    </row>
    <row r="108" spans="1:4">
      <c r="A108" s="17">
        <v>45905</v>
      </c>
      <c r="B108" s="22">
        <v>38.08</v>
      </c>
      <c r="C108" s="23">
        <v>1710000</v>
      </c>
      <c r="D108" s="5">
        <v>-2.1800000000000002</v>
      </c>
    </row>
    <row r="109" spans="1:4">
      <c r="A109" s="17">
        <v>45904</v>
      </c>
      <c r="B109" s="22">
        <v>38.93</v>
      </c>
      <c r="C109" s="23">
        <v>1270000</v>
      </c>
      <c r="D109" s="5">
        <v>1.94</v>
      </c>
    </row>
    <row r="110" spans="1:4">
      <c r="A110" s="17">
        <v>45903</v>
      </c>
      <c r="B110" s="22">
        <v>38.19</v>
      </c>
      <c r="C110" s="23">
        <v>1250000</v>
      </c>
      <c r="D110" s="5">
        <v>-2.6</v>
      </c>
    </row>
    <row r="111" spans="1:4">
      <c r="A111" s="17">
        <v>45902</v>
      </c>
      <c r="B111" s="22">
        <v>39.21</v>
      </c>
      <c r="C111" s="23">
        <v>1170000</v>
      </c>
      <c r="D111" s="5">
        <v>0.59</v>
      </c>
    </row>
    <row r="112" spans="1:4">
      <c r="A112" s="17">
        <v>45898</v>
      </c>
      <c r="B112" s="22">
        <v>38.979999999999997</v>
      </c>
      <c r="C112" s="23">
        <v>644380</v>
      </c>
      <c r="D112" s="5">
        <v>-1.32</v>
      </c>
    </row>
    <row r="113" spans="1:4">
      <c r="A113" s="17">
        <v>45897</v>
      </c>
      <c r="B113" s="22">
        <v>39.5</v>
      </c>
      <c r="C113" s="23">
        <v>746070</v>
      </c>
      <c r="D113" s="5">
        <v>1.39</v>
      </c>
    </row>
    <row r="114" spans="1:4">
      <c r="A114" s="17">
        <v>45896</v>
      </c>
      <c r="B114" s="22">
        <v>38.96</v>
      </c>
      <c r="C114" s="23">
        <v>1010000</v>
      </c>
      <c r="D114" s="5">
        <v>-0.97</v>
      </c>
    </row>
    <row r="115" spans="1:4">
      <c r="A115" s="17">
        <v>45895</v>
      </c>
      <c r="B115" s="22">
        <v>39.340000000000003</v>
      </c>
      <c r="C115" s="23">
        <v>1300000</v>
      </c>
      <c r="D115" s="5">
        <v>1.1599999999999999</v>
      </c>
    </row>
    <row r="116" spans="1:4">
      <c r="A116" s="17">
        <v>45894</v>
      </c>
      <c r="B116" s="22">
        <v>38.89</v>
      </c>
      <c r="C116" s="23">
        <v>1220000</v>
      </c>
      <c r="D116" s="5">
        <v>-3.57</v>
      </c>
    </row>
    <row r="117" spans="1:4">
      <c r="A117" s="17">
        <v>45891</v>
      </c>
      <c r="B117" s="22">
        <v>40.33</v>
      </c>
      <c r="C117" s="23">
        <v>1070000</v>
      </c>
      <c r="D117" s="5">
        <v>-0.4</v>
      </c>
    </row>
    <row r="118" spans="1:4">
      <c r="A118" s="17">
        <v>45890</v>
      </c>
      <c r="B118" s="22">
        <v>40.49</v>
      </c>
      <c r="C118" s="23">
        <v>689570</v>
      </c>
      <c r="D118" s="5">
        <v>0.65</v>
      </c>
    </row>
    <row r="119" spans="1:4">
      <c r="A119" s="17">
        <v>45889</v>
      </c>
      <c r="B119" s="22">
        <v>40.229999999999997</v>
      </c>
      <c r="C119" s="23">
        <v>1080000</v>
      </c>
      <c r="D119" s="5">
        <v>0.27</v>
      </c>
    </row>
    <row r="120" spans="1:4">
      <c r="A120" s="17">
        <v>45888</v>
      </c>
      <c r="B120" s="22">
        <v>40.119999999999997</v>
      </c>
      <c r="C120" s="23">
        <v>907060</v>
      </c>
      <c r="D120" s="5">
        <v>-3.79</v>
      </c>
    </row>
    <row r="121" spans="1:4">
      <c r="A121" s="17">
        <v>45887</v>
      </c>
      <c r="B121" s="22">
        <v>41.7</v>
      </c>
      <c r="C121" s="23">
        <v>945680</v>
      </c>
      <c r="D121" s="5">
        <v>0.48</v>
      </c>
    </row>
    <row r="122" spans="1:4">
      <c r="A122" s="17">
        <v>45884</v>
      </c>
      <c r="B122" s="22">
        <v>41.5</v>
      </c>
      <c r="C122" s="23">
        <v>550870</v>
      </c>
      <c r="D122" s="5">
        <v>0.19</v>
      </c>
    </row>
    <row r="123" spans="1:4">
      <c r="A123" s="17">
        <v>45883</v>
      </c>
      <c r="B123" s="22">
        <v>41.42</v>
      </c>
      <c r="C123" s="23">
        <v>1180000</v>
      </c>
      <c r="D123" s="5">
        <v>-3.99</v>
      </c>
    </row>
    <row r="124" spans="1:4">
      <c r="A124" s="17">
        <v>45882</v>
      </c>
      <c r="B124" s="22">
        <v>43.14</v>
      </c>
      <c r="C124" s="23">
        <v>524980</v>
      </c>
      <c r="D124" s="5">
        <v>1.55</v>
      </c>
    </row>
    <row r="125" spans="1:4">
      <c r="A125" s="17">
        <v>45881</v>
      </c>
      <c r="B125" s="22">
        <v>42.48</v>
      </c>
      <c r="C125" s="23">
        <v>1030000</v>
      </c>
      <c r="D125" s="5">
        <v>-1.1399999999999999</v>
      </c>
    </row>
    <row r="126" spans="1:4">
      <c r="A126" s="17">
        <v>45880</v>
      </c>
      <c r="B126" s="22">
        <v>42.97</v>
      </c>
      <c r="C126" s="23">
        <v>677680</v>
      </c>
      <c r="D126" s="5">
        <v>1.32</v>
      </c>
    </row>
    <row r="127" spans="1:4">
      <c r="A127" s="17">
        <v>45877</v>
      </c>
      <c r="B127" s="22">
        <v>42.41</v>
      </c>
      <c r="C127" s="23">
        <v>1380000</v>
      </c>
      <c r="D127" s="5">
        <v>-4.8</v>
      </c>
    </row>
    <row r="128" spans="1:4">
      <c r="A128" s="17">
        <v>45876</v>
      </c>
      <c r="B128" s="22">
        <v>44.55</v>
      </c>
      <c r="C128" s="23">
        <v>775710</v>
      </c>
      <c r="D128" s="5">
        <v>-2.35</v>
      </c>
    </row>
    <row r="129" spans="1:4">
      <c r="A129" s="17">
        <v>45875</v>
      </c>
      <c r="B129" s="22">
        <v>45.62</v>
      </c>
      <c r="C129" s="23">
        <v>718650</v>
      </c>
      <c r="D129" s="5">
        <v>1.51</v>
      </c>
    </row>
    <row r="130" spans="1:4">
      <c r="A130" s="17">
        <v>45874</v>
      </c>
      <c r="B130" s="22">
        <v>44.94</v>
      </c>
      <c r="C130" s="23">
        <v>557110</v>
      </c>
      <c r="D130" s="5">
        <v>1.93</v>
      </c>
    </row>
    <row r="131" spans="1:4">
      <c r="A131" s="17">
        <v>45873</v>
      </c>
      <c r="B131" s="22">
        <v>44.09</v>
      </c>
      <c r="C131" s="23">
        <v>620480</v>
      </c>
      <c r="D131" s="5">
        <v>1.8</v>
      </c>
    </row>
    <row r="132" spans="1:4">
      <c r="A132" s="17">
        <v>45870</v>
      </c>
      <c r="B132" s="22">
        <v>43.31</v>
      </c>
      <c r="C132" s="23">
        <v>2000000</v>
      </c>
      <c r="D132" s="5">
        <v>-3.11</v>
      </c>
    </row>
    <row r="133" spans="1:4">
      <c r="A133" s="17">
        <v>45869</v>
      </c>
      <c r="B133" s="22">
        <v>44.7</v>
      </c>
      <c r="C133" s="23">
        <v>1490000</v>
      </c>
      <c r="D133" s="5">
        <v>-1.63</v>
      </c>
    </row>
    <row r="134" spans="1:4">
      <c r="A134" s="17">
        <v>45868</v>
      </c>
      <c r="B134" s="22">
        <v>45.44</v>
      </c>
      <c r="C134" s="23">
        <v>1210000</v>
      </c>
      <c r="D134" s="5">
        <v>-1.5</v>
      </c>
    </row>
    <row r="135" spans="1:4">
      <c r="A135" s="17">
        <v>45867</v>
      </c>
      <c r="B135" s="22">
        <v>46.13</v>
      </c>
      <c r="C135" s="23">
        <v>1130000</v>
      </c>
      <c r="D135" s="5">
        <v>5.73</v>
      </c>
    </row>
    <row r="136" spans="1:4">
      <c r="A136" s="17">
        <v>45866</v>
      </c>
      <c r="B136" s="22">
        <v>43.63</v>
      </c>
      <c r="C136" s="23">
        <v>870110</v>
      </c>
      <c r="D136" s="5">
        <v>-1.96</v>
      </c>
    </row>
    <row r="137" spans="1:4">
      <c r="A137" s="17">
        <v>45863</v>
      </c>
      <c r="B137" s="22">
        <v>44.5</v>
      </c>
      <c r="C137" s="23">
        <v>1090000</v>
      </c>
      <c r="D137" s="5">
        <v>1.6</v>
      </c>
    </row>
    <row r="138" spans="1:4">
      <c r="A138" s="17">
        <v>45862</v>
      </c>
      <c r="B138" s="22">
        <v>43.8</v>
      </c>
      <c r="C138" s="23">
        <v>970620</v>
      </c>
      <c r="D138" s="5">
        <v>-1.26</v>
      </c>
    </row>
    <row r="139" spans="1:4">
      <c r="A139" s="17">
        <v>45861</v>
      </c>
      <c r="B139" s="22">
        <v>44.36</v>
      </c>
      <c r="C139" s="23">
        <v>1190000</v>
      </c>
      <c r="D139" s="5">
        <v>3.77</v>
      </c>
    </row>
    <row r="140" spans="1:4">
      <c r="A140" s="17">
        <v>45860</v>
      </c>
      <c r="B140" s="22">
        <v>42.75</v>
      </c>
      <c r="C140" s="23">
        <v>1220000</v>
      </c>
      <c r="D140" s="5">
        <v>-1.25</v>
      </c>
    </row>
    <row r="141" spans="1:4">
      <c r="A141" s="17">
        <v>45859</v>
      </c>
      <c r="B141" s="22">
        <v>43.29</v>
      </c>
      <c r="C141" s="23">
        <v>1310000</v>
      </c>
      <c r="D141" s="5">
        <v>-2.85</v>
      </c>
    </row>
    <row r="142" spans="1:4">
      <c r="A142" s="17">
        <v>45856</v>
      </c>
      <c r="B142" s="22">
        <v>44.56</v>
      </c>
      <c r="C142" s="23">
        <v>1120000</v>
      </c>
      <c r="D142" s="5">
        <v>-1.18</v>
      </c>
    </row>
    <row r="143" spans="1:4">
      <c r="A143" s="17">
        <v>45855</v>
      </c>
      <c r="B143" s="22">
        <v>45.09</v>
      </c>
      <c r="C143" s="23">
        <v>750200</v>
      </c>
      <c r="D143" s="5">
        <v>1.76</v>
      </c>
    </row>
    <row r="144" spans="1:4">
      <c r="A144" s="17">
        <v>45854</v>
      </c>
      <c r="B144" s="22">
        <v>44.31</v>
      </c>
      <c r="C144" s="23">
        <v>926030</v>
      </c>
      <c r="D144" s="5">
        <v>-2.21</v>
      </c>
    </row>
    <row r="145" spans="1:4">
      <c r="A145" s="17">
        <v>45853</v>
      </c>
      <c r="B145" s="22">
        <v>45.31</v>
      </c>
      <c r="C145" s="23">
        <v>1310000</v>
      </c>
      <c r="D145" s="5">
        <v>-0.28999999999999998</v>
      </c>
    </row>
    <row r="146" spans="1:4">
      <c r="A146" s="17">
        <v>45852</v>
      </c>
      <c r="B146" s="22">
        <v>45.44</v>
      </c>
      <c r="C146" s="23">
        <v>1480000</v>
      </c>
      <c r="D146" s="5">
        <v>-1.26</v>
      </c>
    </row>
    <row r="147" spans="1:4">
      <c r="A147" s="17">
        <v>45849</v>
      </c>
      <c r="B147" s="22">
        <v>46.02</v>
      </c>
      <c r="C147" s="23">
        <v>2130000</v>
      </c>
      <c r="D147" s="5">
        <v>-5.93</v>
      </c>
    </row>
    <row r="148" spans="1:4">
      <c r="A148" s="17">
        <v>45848</v>
      </c>
      <c r="B148" s="22">
        <v>48.92</v>
      </c>
      <c r="C148" s="23">
        <v>1410000</v>
      </c>
      <c r="D148" s="5">
        <v>3.58</v>
      </c>
    </row>
    <row r="149" spans="1:4">
      <c r="A149" s="17">
        <v>45847</v>
      </c>
      <c r="B149" s="22">
        <v>47.23</v>
      </c>
      <c r="C149" s="23">
        <v>644650</v>
      </c>
      <c r="D149" s="5">
        <v>-2.2200000000000002</v>
      </c>
    </row>
    <row r="150" spans="1:4">
      <c r="A150" s="17">
        <v>45846</v>
      </c>
      <c r="B150" s="22">
        <v>48.3</v>
      </c>
      <c r="C150" s="23">
        <v>846540</v>
      </c>
      <c r="D150" s="5">
        <v>3.12</v>
      </c>
    </row>
    <row r="151" spans="1:4">
      <c r="A151" s="17">
        <v>45845</v>
      </c>
      <c r="B151" s="22">
        <v>46.84</v>
      </c>
      <c r="C151" s="23">
        <v>556390</v>
      </c>
      <c r="D151" s="5">
        <v>-2.15</v>
      </c>
    </row>
    <row r="152" spans="1:4">
      <c r="A152" s="17">
        <v>45841</v>
      </c>
      <c r="B152" s="22">
        <v>47.87</v>
      </c>
      <c r="C152" s="23">
        <v>187230</v>
      </c>
      <c r="D152" s="5">
        <v>-0.99</v>
      </c>
    </row>
    <row r="153" spans="1:4">
      <c r="A153" s="17">
        <v>45840</v>
      </c>
      <c r="B153" s="22">
        <v>48.35</v>
      </c>
      <c r="C153" s="23">
        <v>588230</v>
      </c>
      <c r="D153" s="5">
        <v>2.16</v>
      </c>
    </row>
    <row r="154" spans="1:4">
      <c r="A154" s="17">
        <v>45839</v>
      </c>
      <c r="B154" s="22">
        <v>47.33</v>
      </c>
      <c r="C154" s="23">
        <v>515940.00000000012</v>
      </c>
      <c r="D154" s="5">
        <v>-1</v>
      </c>
    </row>
    <row r="155" spans="1:4">
      <c r="A155" s="17">
        <v>45838</v>
      </c>
      <c r="B155" s="22">
        <v>47.81</v>
      </c>
      <c r="C155" s="23">
        <v>992490</v>
      </c>
      <c r="D155" s="5">
        <v>-0.89</v>
      </c>
    </row>
    <row r="156" spans="1:4">
      <c r="A156" s="17">
        <v>45835</v>
      </c>
      <c r="B156" s="22">
        <v>48.24</v>
      </c>
      <c r="C156" s="23">
        <v>516770</v>
      </c>
      <c r="D156" s="5">
        <v>-1.49</v>
      </c>
    </row>
    <row r="157" spans="1:4">
      <c r="A157" s="17">
        <v>45834</v>
      </c>
      <c r="B157" s="22">
        <v>48.97</v>
      </c>
      <c r="C157" s="23">
        <v>423840</v>
      </c>
      <c r="D157" s="5">
        <v>1.26</v>
      </c>
    </row>
    <row r="158" spans="1:4">
      <c r="A158" s="17">
        <v>45833</v>
      </c>
      <c r="B158" s="22">
        <v>48.36</v>
      </c>
      <c r="C158" s="23">
        <v>583840</v>
      </c>
      <c r="D158" s="5">
        <v>-3.42</v>
      </c>
    </row>
    <row r="159" spans="1:4">
      <c r="A159" s="17">
        <v>45832</v>
      </c>
      <c r="B159" s="22">
        <v>50.07</v>
      </c>
      <c r="C159" s="23">
        <v>825890</v>
      </c>
      <c r="D159" s="5">
        <v>-0.08</v>
      </c>
    </row>
    <row r="160" spans="1:4">
      <c r="A160" s="17">
        <v>45831</v>
      </c>
      <c r="B160" s="22">
        <v>50.11</v>
      </c>
      <c r="C160" s="23">
        <v>1170000</v>
      </c>
      <c r="D160" s="5">
        <v>-1.92</v>
      </c>
    </row>
    <row r="161" spans="1:4">
      <c r="A161" s="17">
        <v>45828</v>
      </c>
      <c r="B161" s="22">
        <v>51.09</v>
      </c>
      <c r="C161" s="23">
        <v>447180</v>
      </c>
      <c r="D161" s="5">
        <v>-0.89</v>
      </c>
    </row>
    <row r="162" spans="1:4">
      <c r="A162" s="17">
        <v>45826</v>
      </c>
      <c r="B162" s="22">
        <v>51.55</v>
      </c>
      <c r="C162" s="23">
        <v>457340</v>
      </c>
      <c r="D162" s="5">
        <v>-1.25</v>
      </c>
    </row>
    <row r="163" spans="1:4">
      <c r="A163" s="17">
        <v>45825</v>
      </c>
      <c r="B163" s="22">
        <v>52.2</v>
      </c>
      <c r="C163" s="23">
        <v>512640</v>
      </c>
      <c r="D163" s="5">
        <v>0.31</v>
      </c>
    </row>
    <row r="164" spans="1:4">
      <c r="A164" s="17">
        <v>45824</v>
      </c>
      <c r="B164" s="22">
        <v>52.04</v>
      </c>
      <c r="C164" s="23">
        <v>591500</v>
      </c>
      <c r="D164" s="5">
        <v>-1.9</v>
      </c>
    </row>
    <row r="165" spans="1:4">
      <c r="A165" s="17">
        <v>45821</v>
      </c>
      <c r="B165" s="22">
        <v>53.05</v>
      </c>
      <c r="C165" s="23">
        <v>1720000</v>
      </c>
      <c r="D165" s="5">
        <v>1.22</v>
      </c>
    </row>
    <row r="166" spans="1:4">
      <c r="A166" s="17">
        <v>45820</v>
      </c>
      <c r="B166" s="22">
        <v>52.41</v>
      </c>
      <c r="C166" s="23">
        <v>337810</v>
      </c>
      <c r="D166" s="5">
        <v>0</v>
      </c>
    </row>
    <row r="167" spans="1:4">
      <c r="A167" s="17">
        <v>45819</v>
      </c>
      <c r="B167" s="22">
        <v>52.41</v>
      </c>
      <c r="C167" s="23">
        <v>636740</v>
      </c>
      <c r="D167" s="5">
        <v>2.04</v>
      </c>
    </row>
    <row r="168" spans="1:4">
      <c r="A168" s="17">
        <v>45818</v>
      </c>
      <c r="B168" s="22">
        <v>51.36</v>
      </c>
      <c r="C168" s="23">
        <v>739470</v>
      </c>
      <c r="D168" s="5">
        <v>4.16</v>
      </c>
    </row>
    <row r="169" spans="1:4">
      <c r="A169" s="17">
        <v>45817</v>
      </c>
      <c r="B169" s="22">
        <v>49.31</v>
      </c>
      <c r="C169" s="23">
        <v>481510</v>
      </c>
      <c r="D169" s="5">
        <v>-1.4</v>
      </c>
    </row>
    <row r="170" spans="1:4">
      <c r="A170" s="17">
        <v>45814</v>
      </c>
      <c r="B170" s="22">
        <v>50.01</v>
      </c>
      <c r="C170" s="23">
        <v>490860</v>
      </c>
      <c r="D170" s="5">
        <v>2.9</v>
      </c>
    </row>
    <row r="171" spans="1:4">
      <c r="A171" s="17">
        <v>45813</v>
      </c>
      <c r="B171" s="22">
        <v>48.6</v>
      </c>
      <c r="C171" s="23">
        <v>598700</v>
      </c>
      <c r="D171" s="5">
        <v>1.46</v>
      </c>
    </row>
    <row r="172" spans="1:4">
      <c r="A172" s="17">
        <v>45812</v>
      </c>
      <c r="B172" s="22">
        <v>47.9</v>
      </c>
      <c r="C172" s="23">
        <v>1350000</v>
      </c>
      <c r="D172" s="5">
        <v>-6.41</v>
      </c>
    </row>
    <row r="173" spans="1:4">
      <c r="A173" s="17">
        <v>45811</v>
      </c>
      <c r="B173" s="22">
        <v>51.18</v>
      </c>
      <c r="C173" s="23">
        <v>500820</v>
      </c>
      <c r="D173" s="5">
        <v>3.5</v>
      </c>
    </row>
    <row r="174" spans="1:4">
      <c r="A174" s="17">
        <v>45810</v>
      </c>
      <c r="B174" s="22">
        <v>49.45</v>
      </c>
      <c r="C174" s="23">
        <v>433290</v>
      </c>
      <c r="D174" s="5">
        <v>-0.16</v>
      </c>
    </row>
    <row r="175" spans="1:4">
      <c r="A175" s="17">
        <v>45807</v>
      </c>
      <c r="B175" s="22">
        <v>49.53</v>
      </c>
      <c r="C175" s="23">
        <v>917490</v>
      </c>
      <c r="D175" s="5">
        <v>-1.22</v>
      </c>
    </row>
    <row r="176" spans="1:4">
      <c r="A176" s="17">
        <v>45806</v>
      </c>
      <c r="B176" s="22">
        <v>50.14</v>
      </c>
      <c r="C176" s="23">
        <v>853350</v>
      </c>
      <c r="D176" s="5">
        <v>-0.14000000000000001</v>
      </c>
    </row>
    <row r="177" spans="1:4">
      <c r="A177" s="17">
        <v>45805</v>
      </c>
      <c r="B177" s="22">
        <v>50.21</v>
      </c>
      <c r="C177" s="23">
        <v>934560</v>
      </c>
      <c r="D177" s="5">
        <v>2.14</v>
      </c>
    </row>
    <row r="178" spans="1:4">
      <c r="A178" s="17">
        <v>45804</v>
      </c>
      <c r="B178" s="22">
        <v>49.16</v>
      </c>
      <c r="C178" s="23">
        <v>483980</v>
      </c>
      <c r="D178" s="5">
        <v>-1.25</v>
      </c>
    </row>
    <row r="179" spans="1:4">
      <c r="A179" s="17">
        <v>45800</v>
      </c>
      <c r="B179" s="22">
        <v>49.78</v>
      </c>
      <c r="C179" s="23">
        <v>384310</v>
      </c>
      <c r="D179" s="5">
        <v>0.85</v>
      </c>
    </row>
    <row r="180" spans="1:4">
      <c r="A180" s="17">
        <v>45799</v>
      </c>
      <c r="B180" s="22">
        <v>49.36</v>
      </c>
      <c r="C180" s="23">
        <v>811060</v>
      </c>
      <c r="D180" s="5">
        <v>-0.8</v>
      </c>
    </row>
    <row r="181" spans="1:4">
      <c r="A181" s="17">
        <v>45798</v>
      </c>
      <c r="B181" s="22">
        <v>49.76</v>
      </c>
      <c r="C181" s="23">
        <v>564580</v>
      </c>
      <c r="D181" s="5">
        <v>-2.2599999999999998</v>
      </c>
    </row>
    <row r="182" spans="1:4">
      <c r="A182" s="17">
        <v>45797</v>
      </c>
      <c r="B182" s="22">
        <v>50.91</v>
      </c>
      <c r="C182" s="23">
        <v>782540</v>
      </c>
      <c r="D182" s="5">
        <v>-0.8</v>
      </c>
    </row>
    <row r="183" spans="1:4">
      <c r="A183" s="17">
        <v>45796</v>
      </c>
      <c r="B183" s="22">
        <v>51.32</v>
      </c>
      <c r="C183" s="23">
        <v>1630000</v>
      </c>
      <c r="D183" s="5">
        <v>2.25</v>
      </c>
    </row>
    <row r="184" spans="1:4">
      <c r="A184" s="17">
        <v>45793</v>
      </c>
      <c r="B184" s="22">
        <v>50.19</v>
      </c>
      <c r="C184" s="23">
        <v>920780</v>
      </c>
      <c r="D184" s="5">
        <v>-0.73</v>
      </c>
    </row>
    <row r="185" spans="1:4">
      <c r="A185" s="17">
        <v>45792</v>
      </c>
      <c r="B185" s="22">
        <v>50.56</v>
      </c>
      <c r="C185" s="23">
        <v>855050</v>
      </c>
      <c r="D185" s="5">
        <v>-1.62</v>
      </c>
    </row>
    <row r="186" spans="1:4">
      <c r="A186" s="17">
        <v>45791</v>
      </c>
      <c r="B186" s="22">
        <v>51.39</v>
      </c>
      <c r="C186" s="23">
        <v>636310</v>
      </c>
      <c r="D186" s="5">
        <v>0.23</v>
      </c>
    </row>
    <row r="187" spans="1:4">
      <c r="A187" s="17">
        <v>45790</v>
      </c>
      <c r="B187" s="22">
        <v>51.27</v>
      </c>
      <c r="C187" s="23">
        <v>903380</v>
      </c>
      <c r="D187" s="5">
        <v>2.46</v>
      </c>
    </row>
    <row r="188" spans="1:4">
      <c r="A188" s="17">
        <v>45789</v>
      </c>
      <c r="B188" s="22">
        <v>50.04</v>
      </c>
      <c r="C188" s="23">
        <v>757200</v>
      </c>
      <c r="D188" s="5">
        <v>5.86</v>
      </c>
    </row>
    <row r="189" spans="1:4">
      <c r="A189" s="17">
        <v>45786</v>
      </c>
      <c r="B189" s="22">
        <v>47.27</v>
      </c>
      <c r="C189" s="23">
        <v>618570</v>
      </c>
      <c r="D189" s="5">
        <v>1.5</v>
      </c>
    </row>
    <row r="190" spans="1:4">
      <c r="A190" s="17">
        <v>45785</v>
      </c>
      <c r="B190" s="22">
        <v>46.57</v>
      </c>
      <c r="C190" s="23">
        <v>644890</v>
      </c>
      <c r="D190" s="5">
        <v>3.58</v>
      </c>
    </row>
    <row r="191" spans="1:4">
      <c r="A191" s="17">
        <v>45784</v>
      </c>
      <c r="B191" s="22">
        <v>44.96</v>
      </c>
      <c r="C191" s="23">
        <v>1020000</v>
      </c>
      <c r="D191" s="5">
        <v>0.83</v>
      </c>
    </row>
    <row r="192" spans="1:4">
      <c r="A192" s="17">
        <v>45783</v>
      </c>
      <c r="B192" s="22">
        <v>44.59</v>
      </c>
      <c r="C192" s="23">
        <v>711550</v>
      </c>
      <c r="D192" s="5">
        <v>4.26</v>
      </c>
    </row>
    <row r="193" spans="1:4">
      <c r="A193" s="17">
        <v>45782</v>
      </c>
      <c r="B193" s="22">
        <v>42.77</v>
      </c>
      <c r="C193" s="23">
        <v>836130</v>
      </c>
      <c r="D193" s="5">
        <v>-2.8</v>
      </c>
    </row>
    <row r="194" spans="1:4">
      <c r="A194" s="17">
        <v>45779</v>
      </c>
      <c r="B194" s="22">
        <v>44</v>
      </c>
      <c r="C194" s="23">
        <v>856340</v>
      </c>
      <c r="D194" s="5">
        <v>-1.35</v>
      </c>
    </row>
    <row r="195" spans="1:4">
      <c r="A195" s="17">
        <v>45778</v>
      </c>
      <c r="B195" s="22">
        <v>44.6</v>
      </c>
      <c r="C195" s="23">
        <v>779500</v>
      </c>
      <c r="D195" s="5">
        <v>-1.26</v>
      </c>
    </row>
    <row r="196" spans="1:4">
      <c r="A196" s="17">
        <v>45777</v>
      </c>
      <c r="B196" s="22">
        <v>45.17</v>
      </c>
      <c r="C196" s="23">
        <v>1290000</v>
      </c>
      <c r="D196" s="5">
        <v>-1.07</v>
      </c>
    </row>
    <row r="197" spans="1:4">
      <c r="A197" s="17">
        <v>45776</v>
      </c>
      <c r="B197" s="22">
        <v>45.66</v>
      </c>
      <c r="C197" s="23">
        <v>903860</v>
      </c>
      <c r="D197" s="5">
        <v>-3.22</v>
      </c>
    </row>
    <row r="198" spans="1:4">
      <c r="A198" s="17">
        <v>45775</v>
      </c>
      <c r="B198" s="22">
        <v>47.18</v>
      </c>
      <c r="C198" s="23">
        <v>1030000</v>
      </c>
      <c r="D198" s="5">
        <v>-1.77</v>
      </c>
    </row>
    <row r="199" spans="1:4">
      <c r="A199" s="17">
        <v>45772</v>
      </c>
      <c r="B199" s="22">
        <v>48.03</v>
      </c>
      <c r="C199" s="23">
        <v>1200000</v>
      </c>
      <c r="D199" s="5">
        <v>-1.78</v>
      </c>
    </row>
    <row r="200" spans="1:4">
      <c r="A200" s="17">
        <v>45771</v>
      </c>
      <c r="B200" s="22">
        <v>48.9</v>
      </c>
      <c r="C200" s="23">
        <v>1750000</v>
      </c>
      <c r="D200" s="5">
        <v>2.73</v>
      </c>
    </row>
    <row r="201" spans="1:4">
      <c r="A201" s="17">
        <v>45770</v>
      </c>
      <c r="B201" s="22">
        <v>47.6</v>
      </c>
      <c r="C201" s="23">
        <v>1320000</v>
      </c>
      <c r="D201" s="5">
        <v>1.64</v>
      </c>
    </row>
    <row r="202" spans="1:4">
      <c r="A202" s="17">
        <v>45769</v>
      </c>
      <c r="B202" s="22">
        <v>46.83</v>
      </c>
      <c r="C202" s="23">
        <v>1240000</v>
      </c>
      <c r="D202" s="5">
        <v>3.24</v>
      </c>
    </row>
    <row r="203" spans="1:4">
      <c r="A203" s="17">
        <v>45768</v>
      </c>
      <c r="B203" s="22">
        <v>45.36</v>
      </c>
      <c r="C203" s="23">
        <v>1070000</v>
      </c>
      <c r="D203" s="5">
        <v>-5.12</v>
      </c>
    </row>
    <row r="204" spans="1:4">
      <c r="A204" s="17">
        <v>45764</v>
      </c>
      <c r="B204" s="22">
        <v>47.81</v>
      </c>
      <c r="C204" s="23">
        <v>2080000</v>
      </c>
      <c r="D204" s="5">
        <v>6.89</v>
      </c>
    </row>
    <row r="205" spans="1:4">
      <c r="A205" s="17">
        <v>45763</v>
      </c>
      <c r="B205" s="22">
        <v>44.73</v>
      </c>
      <c r="C205" s="23">
        <v>3690000</v>
      </c>
      <c r="D205" s="5">
        <v>10.77</v>
      </c>
    </row>
    <row r="206" spans="1:4">
      <c r="A206" s="17">
        <v>45762</v>
      </c>
      <c r="B206" s="22">
        <v>40.380000000000003</v>
      </c>
      <c r="C206" s="23">
        <v>812420</v>
      </c>
      <c r="D206" s="5">
        <v>-1.17</v>
      </c>
    </row>
    <row r="207" spans="1:4">
      <c r="A207" s="17">
        <v>45761</v>
      </c>
      <c r="B207" s="22">
        <v>40.86</v>
      </c>
      <c r="C207" s="23">
        <v>2220000</v>
      </c>
      <c r="D207" s="5">
        <v>7.1</v>
      </c>
    </row>
    <row r="208" spans="1:4">
      <c r="A208" s="17">
        <v>45758</v>
      </c>
      <c r="B208" s="22">
        <v>38.15</v>
      </c>
      <c r="C208" s="23">
        <v>1350000</v>
      </c>
      <c r="D208" s="5">
        <v>8.1300000000000008</v>
      </c>
    </row>
    <row r="209" spans="1:4">
      <c r="A209" s="17">
        <v>45757</v>
      </c>
      <c r="B209" s="22">
        <v>35.28</v>
      </c>
      <c r="C209" s="23">
        <v>1380000</v>
      </c>
      <c r="D209" s="5">
        <v>-8.1</v>
      </c>
    </row>
    <row r="210" spans="1:4">
      <c r="A210" s="17">
        <v>45756</v>
      </c>
      <c r="B210" s="22">
        <v>38.39</v>
      </c>
      <c r="C210" s="23">
        <v>3060000</v>
      </c>
      <c r="D210" s="5">
        <v>9.75</v>
      </c>
    </row>
    <row r="211" spans="1:4">
      <c r="A211" s="17">
        <v>45755</v>
      </c>
      <c r="B211" s="22">
        <v>34.979999999999997</v>
      </c>
      <c r="C211" s="23">
        <v>1800000</v>
      </c>
      <c r="D211" s="5">
        <v>-5.54</v>
      </c>
    </row>
    <row r="212" spans="1:4">
      <c r="A212" s="17">
        <v>45754</v>
      </c>
      <c r="B212" s="22">
        <v>37.03</v>
      </c>
      <c r="C212" s="23">
        <v>2020000</v>
      </c>
      <c r="D212" s="5">
        <v>-4.3899999999999997</v>
      </c>
    </row>
    <row r="213" spans="1:4">
      <c r="A213" s="17">
        <v>45751</v>
      </c>
      <c r="B213" s="22">
        <v>38.729999999999997</v>
      </c>
      <c r="C213" s="23">
        <v>2250000</v>
      </c>
      <c r="D213" s="5">
        <v>-10.62</v>
      </c>
    </row>
    <row r="214" spans="1:4">
      <c r="A214" s="17">
        <v>45750</v>
      </c>
      <c r="B214" s="22">
        <v>43.33</v>
      </c>
      <c r="C214" s="23">
        <v>1130000</v>
      </c>
      <c r="D214" s="5">
        <v>-8.49</v>
      </c>
    </row>
    <row r="215" spans="1:4">
      <c r="A215" s="17">
        <v>45749</v>
      </c>
      <c r="B215" s="22">
        <v>47.35</v>
      </c>
      <c r="C215" s="23">
        <v>345610</v>
      </c>
      <c r="D215" s="5">
        <v>-0.82</v>
      </c>
    </row>
    <row r="216" spans="1:4">
      <c r="A216" s="17">
        <v>45748</v>
      </c>
      <c r="B216" s="22">
        <v>47.74</v>
      </c>
      <c r="C216" s="23">
        <v>527420</v>
      </c>
      <c r="D216" s="5">
        <v>2.5299999999999998</v>
      </c>
    </row>
    <row r="217" spans="1:4">
      <c r="A217" s="17">
        <v>45747</v>
      </c>
      <c r="B217" s="22">
        <v>46.56</v>
      </c>
      <c r="C217" s="23">
        <v>667920</v>
      </c>
      <c r="D217" s="5">
        <v>-1.98</v>
      </c>
    </row>
    <row r="218" spans="1:4">
      <c r="A218" s="17">
        <v>45744</v>
      </c>
      <c r="B218" s="22">
        <v>47.5</v>
      </c>
      <c r="C218" s="23">
        <v>704450</v>
      </c>
      <c r="D218" s="5">
        <v>-2</v>
      </c>
    </row>
    <row r="219" spans="1:4">
      <c r="A219" s="17">
        <v>45743</v>
      </c>
      <c r="B219" s="22">
        <v>48.47</v>
      </c>
      <c r="C219" s="23">
        <v>746200</v>
      </c>
      <c r="D219" s="5">
        <v>0.77</v>
      </c>
    </row>
    <row r="220" spans="1:4">
      <c r="A220" s="17">
        <v>45742</v>
      </c>
      <c r="B220" s="22">
        <v>48.1</v>
      </c>
      <c r="C220" s="23">
        <v>702550</v>
      </c>
      <c r="D220" s="5">
        <v>-0.48</v>
      </c>
    </row>
    <row r="221" spans="1:4">
      <c r="A221" s="17">
        <v>45741</v>
      </c>
      <c r="B221" s="22">
        <v>48.33</v>
      </c>
      <c r="C221" s="23">
        <v>527090</v>
      </c>
      <c r="D221" s="5">
        <v>3.03</v>
      </c>
    </row>
    <row r="222" spans="1:4">
      <c r="A222" s="17">
        <v>45740</v>
      </c>
      <c r="B222" s="22">
        <v>46.91</v>
      </c>
      <c r="C222" s="23">
        <v>352520</v>
      </c>
      <c r="D222" s="5">
        <v>-0.21</v>
      </c>
    </row>
    <row r="223" spans="1:4">
      <c r="A223" s="17">
        <v>45737</v>
      </c>
      <c r="B223" s="22">
        <v>47.01</v>
      </c>
      <c r="C223" s="23">
        <v>433860</v>
      </c>
      <c r="D223" s="5">
        <v>1.21</v>
      </c>
    </row>
    <row r="224" spans="1:4">
      <c r="A224" s="17">
        <v>45736</v>
      </c>
      <c r="B224" s="22">
        <v>46.45</v>
      </c>
      <c r="C224" s="23">
        <v>307070</v>
      </c>
      <c r="D224" s="5">
        <v>-0.15</v>
      </c>
    </row>
    <row r="225" spans="1:4">
      <c r="A225" s="17">
        <v>45735</v>
      </c>
      <c r="B225" s="22">
        <v>46.52</v>
      </c>
      <c r="C225" s="23">
        <v>690010</v>
      </c>
      <c r="D225" s="5">
        <v>1.73</v>
      </c>
    </row>
    <row r="226" spans="1:4">
      <c r="A226" s="17">
        <v>45734</v>
      </c>
      <c r="B226" s="22">
        <v>45.73</v>
      </c>
      <c r="C226" s="23">
        <v>898500</v>
      </c>
      <c r="D226" s="5">
        <v>-6.96</v>
      </c>
    </row>
    <row r="227" spans="1:4">
      <c r="A227" s="17">
        <v>45733</v>
      </c>
      <c r="B227" s="22">
        <v>49.15</v>
      </c>
      <c r="C227" s="23">
        <v>446390</v>
      </c>
      <c r="D227" s="5">
        <v>-0.16</v>
      </c>
    </row>
    <row r="228" spans="1:4">
      <c r="A228" s="17">
        <v>45730</v>
      </c>
      <c r="B228" s="22">
        <v>49.23</v>
      </c>
      <c r="C228" s="23">
        <v>703320</v>
      </c>
      <c r="D228" s="5">
        <v>3.97</v>
      </c>
    </row>
    <row r="229" spans="1:4">
      <c r="A229" s="17">
        <v>45729</v>
      </c>
      <c r="B229" s="22">
        <v>47.35</v>
      </c>
      <c r="C229" s="23">
        <v>951200</v>
      </c>
      <c r="D229" s="5">
        <v>0.23</v>
      </c>
    </row>
    <row r="230" spans="1:4">
      <c r="A230" s="17">
        <v>45728</v>
      </c>
      <c r="B230" s="22">
        <v>47.24</v>
      </c>
      <c r="C230" s="23">
        <v>1740000</v>
      </c>
      <c r="D230" s="5">
        <v>10.63</v>
      </c>
    </row>
    <row r="231" spans="1:4">
      <c r="A231" s="17">
        <v>45727</v>
      </c>
      <c r="B231" s="22">
        <v>42.7</v>
      </c>
      <c r="C231" s="23">
        <v>854360</v>
      </c>
      <c r="D231" s="5">
        <v>0.28000000000000003</v>
      </c>
    </row>
    <row r="232" spans="1:4">
      <c r="A232" s="17">
        <v>45726</v>
      </c>
      <c r="B232" s="22">
        <v>42.58</v>
      </c>
      <c r="C232" s="23">
        <v>1890000</v>
      </c>
      <c r="D232" s="5">
        <v>-6.87</v>
      </c>
    </row>
    <row r="233" spans="1:4">
      <c r="A233" s="17">
        <v>45723</v>
      </c>
      <c r="B233" s="22">
        <v>45.72</v>
      </c>
      <c r="C233" s="23">
        <v>779440</v>
      </c>
      <c r="D233" s="5">
        <v>1.04</v>
      </c>
    </row>
    <row r="234" spans="1:4">
      <c r="A234" s="17">
        <v>45722</v>
      </c>
      <c r="B234" s="22">
        <v>45.25</v>
      </c>
      <c r="C234" s="23">
        <v>618580</v>
      </c>
      <c r="D234" s="5">
        <v>-1.44</v>
      </c>
    </row>
    <row r="235" spans="1:4">
      <c r="A235" s="17">
        <v>45721</v>
      </c>
      <c r="B235" s="22">
        <v>45.91</v>
      </c>
      <c r="C235" s="23">
        <v>1450000</v>
      </c>
      <c r="D235" s="5">
        <v>-0.48</v>
      </c>
    </row>
    <row r="236" spans="1:4">
      <c r="A236" s="17">
        <v>45720</v>
      </c>
      <c r="B236" s="22">
        <v>46.13</v>
      </c>
      <c r="C236" s="23">
        <v>2000000</v>
      </c>
      <c r="D236" s="5">
        <v>-6.52</v>
      </c>
    </row>
    <row r="237" spans="1:4">
      <c r="A237" s="17">
        <v>45719</v>
      </c>
      <c r="B237" s="22">
        <v>49.35</v>
      </c>
      <c r="C237" s="23">
        <v>1630000</v>
      </c>
      <c r="D237" s="5">
        <v>-2.82</v>
      </c>
    </row>
    <row r="238" spans="1:4">
      <c r="A238" s="17">
        <v>45716</v>
      </c>
      <c r="B238" s="22">
        <v>50.78</v>
      </c>
      <c r="C238" s="23">
        <v>1320000</v>
      </c>
      <c r="D238" s="5">
        <v>4.29</v>
      </c>
    </row>
    <row r="239" spans="1:4">
      <c r="A239" s="17">
        <v>45715</v>
      </c>
      <c r="B239" s="22">
        <v>48.69</v>
      </c>
      <c r="C239" s="23">
        <v>967540</v>
      </c>
      <c r="D239" s="5">
        <v>-5.42</v>
      </c>
    </row>
    <row r="240" spans="1:4">
      <c r="A240" s="17">
        <v>45714</v>
      </c>
      <c r="B240" s="22">
        <v>51.48</v>
      </c>
      <c r="C240" s="23">
        <v>800180</v>
      </c>
      <c r="D240" s="5">
        <v>-0.04</v>
      </c>
    </row>
    <row r="241" spans="1:4">
      <c r="A241" s="17">
        <v>45713</v>
      </c>
      <c r="B241" s="22">
        <v>51.5</v>
      </c>
      <c r="C241" s="23">
        <v>738920</v>
      </c>
      <c r="D241" s="5">
        <v>-1.02</v>
      </c>
    </row>
    <row r="242" spans="1:4">
      <c r="A242" s="17">
        <v>45712</v>
      </c>
      <c r="B242" s="22">
        <v>52.03</v>
      </c>
      <c r="C242" s="23">
        <v>989970</v>
      </c>
      <c r="D242" s="5">
        <v>-4.0199999999999996</v>
      </c>
    </row>
    <row r="243" spans="1:4">
      <c r="A243" s="17">
        <v>45709</v>
      </c>
      <c r="B243" s="22">
        <v>54.21</v>
      </c>
      <c r="C243" s="23">
        <v>1050000</v>
      </c>
      <c r="D243" s="5">
        <v>-2.13</v>
      </c>
    </row>
    <row r="244" spans="1:4">
      <c r="A244" s="17">
        <v>45708</v>
      </c>
      <c r="B244" s="22">
        <v>55.39</v>
      </c>
      <c r="C244" s="23">
        <v>1100000</v>
      </c>
      <c r="D244" s="5">
        <v>4.53</v>
      </c>
    </row>
    <row r="245" spans="1:4">
      <c r="A245" s="17">
        <v>45707</v>
      </c>
      <c r="B245" s="22">
        <v>52.99</v>
      </c>
      <c r="C245" s="23">
        <v>1140000</v>
      </c>
      <c r="D245" s="5">
        <v>3.62</v>
      </c>
    </row>
    <row r="246" spans="1:4">
      <c r="A246" s="17">
        <v>45706</v>
      </c>
      <c r="B246" s="22">
        <v>51.14</v>
      </c>
      <c r="C246" s="23">
        <v>1380000</v>
      </c>
      <c r="D246" s="5">
        <v>-0.54</v>
      </c>
    </row>
    <row r="247" spans="1:4">
      <c r="A247" s="17">
        <v>45702</v>
      </c>
      <c r="B247" s="22">
        <v>51.42</v>
      </c>
      <c r="C247" s="23">
        <v>701380</v>
      </c>
      <c r="D247" s="5">
        <v>-0.52</v>
      </c>
    </row>
    <row r="248" spans="1:4">
      <c r="A248" s="17">
        <v>45701</v>
      </c>
      <c r="B248" s="22">
        <v>51.69</v>
      </c>
      <c r="C248" s="23">
        <v>694140</v>
      </c>
      <c r="D248" s="5">
        <v>1.93</v>
      </c>
    </row>
    <row r="249" spans="1:4">
      <c r="A249" s="17">
        <v>45700</v>
      </c>
      <c r="B249" s="22">
        <v>50.71</v>
      </c>
      <c r="C249" s="23">
        <v>1050000</v>
      </c>
      <c r="D249" s="5">
        <v>-0.12</v>
      </c>
    </row>
    <row r="250" spans="1:4">
      <c r="A250" s="17">
        <v>45699</v>
      </c>
      <c r="B250" s="22">
        <v>50.77</v>
      </c>
      <c r="C250" s="23">
        <v>1110000</v>
      </c>
      <c r="D250" s="5">
        <v>-5.39</v>
      </c>
    </row>
    <row r="251" spans="1:4">
      <c r="A251" s="17">
        <v>45698</v>
      </c>
      <c r="B251" s="22">
        <v>53.66</v>
      </c>
      <c r="C251" s="23">
        <v>569100</v>
      </c>
      <c r="D251" s="5">
        <v>1.94</v>
      </c>
    </row>
    <row r="252" spans="1:4">
      <c r="A252" s="17">
        <v>45695</v>
      </c>
      <c r="B252" s="22">
        <v>52.64</v>
      </c>
      <c r="C252" s="23">
        <v>892630</v>
      </c>
      <c r="D252" s="5">
        <v>-1.68</v>
      </c>
    </row>
    <row r="253" spans="1:4">
      <c r="A253" s="17">
        <v>45694</v>
      </c>
      <c r="B253" s="22">
        <v>53.54</v>
      </c>
      <c r="C253" s="23">
        <v>721340</v>
      </c>
      <c r="D253" s="5">
        <v>2.21</v>
      </c>
    </row>
    <row r="254" spans="1:4">
      <c r="A254" s="17">
        <v>45693</v>
      </c>
      <c r="B254" s="22">
        <v>52.38</v>
      </c>
      <c r="C254" s="23">
        <v>722290</v>
      </c>
      <c r="D254" s="5">
        <v>-1.65</v>
      </c>
    </row>
    <row r="255" spans="1:4">
      <c r="A255" s="17">
        <v>45692</v>
      </c>
      <c r="B255" s="22">
        <v>53.26</v>
      </c>
      <c r="C255" s="23">
        <v>668570</v>
      </c>
      <c r="D255" s="5">
        <v>0.87</v>
      </c>
    </row>
    <row r="256" spans="1:4">
      <c r="A256" s="17">
        <v>45691</v>
      </c>
      <c r="B256" s="22">
        <v>52.8</v>
      </c>
      <c r="C256" s="23">
        <v>711920</v>
      </c>
      <c r="D256" s="5">
        <v>-2.13</v>
      </c>
    </row>
    <row r="257" spans="1:4">
      <c r="A257" s="17">
        <v>45688</v>
      </c>
      <c r="B257" s="22">
        <v>53.95</v>
      </c>
      <c r="C257" s="23">
        <v>552730</v>
      </c>
      <c r="D257" s="5">
        <v>-2.83</v>
      </c>
    </row>
    <row r="258" spans="1:4">
      <c r="A258" s="17">
        <v>45687</v>
      </c>
      <c r="B258" s="22">
        <v>55.52</v>
      </c>
      <c r="C258" s="23">
        <v>631720</v>
      </c>
      <c r="D258" s="5">
        <v>1.02</v>
      </c>
    </row>
    <row r="259" spans="1:4">
      <c r="A259" s="17">
        <v>45686</v>
      </c>
      <c r="B259" s="22">
        <v>54.96</v>
      </c>
      <c r="C259" s="23">
        <v>703760</v>
      </c>
      <c r="D259" s="5">
        <v>4.3499999999999996</v>
      </c>
    </row>
    <row r="260" spans="1:4">
      <c r="A260" s="17">
        <v>45685</v>
      </c>
      <c r="B260" s="22">
        <v>52.67</v>
      </c>
      <c r="C260" s="23">
        <v>1400000</v>
      </c>
      <c r="D260" s="5">
        <v>-2.59</v>
      </c>
    </row>
    <row r="261" spans="1:4">
      <c r="A261" s="17">
        <v>45684</v>
      </c>
      <c r="B261" s="22">
        <v>54.07</v>
      </c>
      <c r="C261" s="23">
        <v>1340000</v>
      </c>
      <c r="D261" s="5">
        <v>-5.1100000000000003</v>
      </c>
    </row>
    <row r="262" spans="1:4">
      <c r="A262" s="17">
        <v>45681</v>
      </c>
      <c r="B262" s="22">
        <v>56.98</v>
      </c>
      <c r="C262" s="23">
        <v>1100000</v>
      </c>
      <c r="D262" s="5">
        <v>-3.05</v>
      </c>
    </row>
    <row r="263" spans="1:4">
      <c r="A263" s="17">
        <v>45680</v>
      </c>
      <c r="B263" s="22">
        <v>58.77</v>
      </c>
      <c r="C263" s="23">
        <v>853120</v>
      </c>
      <c r="D263" s="5">
        <v>0.17</v>
      </c>
    </row>
    <row r="264" spans="1:4">
      <c r="A264" s="17">
        <v>45679</v>
      </c>
      <c r="B264" s="22">
        <v>58.67</v>
      </c>
      <c r="C264" s="23">
        <v>817160</v>
      </c>
      <c r="D264" s="5">
        <v>2.09</v>
      </c>
    </row>
    <row r="265" spans="1:4">
      <c r="A265" s="17">
        <v>45678</v>
      </c>
      <c r="B265" s="22">
        <v>57.47</v>
      </c>
      <c r="C265" s="23">
        <v>759360</v>
      </c>
      <c r="D265" s="5">
        <v>1.3</v>
      </c>
    </row>
    <row r="266" spans="1:4">
      <c r="A266" s="17">
        <v>45674</v>
      </c>
      <c r="B266" s="22">
        <v>56.73</v>
      </c>
      <c r="C266" s="23">
        <v>905500</v>
      </c>
      <c r="D266" s="5">
        <v>-2.74</v>
      </c>
    </row>
    <row r="267" spans="1:4">
      <c r="A267" s="17">
        <v>45673</v>
      </c>
      <c r="B267" s="22">
        <v>58.33</v>
      </c>
      <c r="C267" s="23">
        <v>702510</v>
      </c>
      <c r="D267" s="5">
        <v>-1.97</v>
      </c>
    </row>
    <row r="268" spans="1:4">
      <c r="A268" s="17">
        <v>45672</v>
      </c>
      <c r="B268" s="22">
        <v>59.5</v>
      </c>
      <c r="C268" s="23">
        <v>1090000</v>
      </c>
      <c r="D268" s="5">
        <v>1.21</v>
      </c>
    </row>
    <row r="269" spans="1:4">
      <c r="A269" s="17">
        <v>45671</v>
      </c>
      <c r="B269" s="22">
        <v>58.79</v>
      </c>
      <c r="C269" s="23">
        <v>714390</v>
      </c>
      <c r="D269" s="5">
        <v>3.12</v>
      </c>
    </row>
    <row r="270" spans="1:4">
      <c r="A270" s="17">
        <v>45670</v>
      </c>
      <c r="B270" s="22">
        <v>57.01</v>
      </c>
      <c r="C270" s="23">
        <v>796930</v>
      </c>
      <c r="D270" s="5">
        <v>-1.45</v>
      </c>
    </row>
    <row r="271" spans="1:4">
      <c r="A271" s="17">
        <v>45667</v>
      </c>
      <c r="B271" s="22">
        <v>57.85</v>
      </c>
      <c r="C271" s="23">
        <v>871530</v>
      </c>
      <c r="D271" s="5">
        <v>2.41</v>
      </c>
    </row>
    <row r="272" spans="1:4">
      <c r="A272" s="17">
        <v>45665</v>
      </c>
      <c r="B272" s="22">
        <v>56.49</v>
      </c>
      <c r="C272" s="23">
        <v>839030</v>
      </c>
      <c r="D272" s="5">
        <v>-1.76</v>
      </c>
    </row>
    <row r="273" spans="1:4">
      <c r="A273" s="17">
        <v>45664</v>
      </c>
      <c r="B273" s="22">
        <v>57.5</v>
      </c>
      <c r="C273" s="23">
        <v>1080000</v>
      </c>
      <c r="D273" s="5">
        <v>5.52</v>
      </c>
    </row>
    <row r="274" spans="1:4">
      <c r="A274" s="17">
        <v>45663</v>
      </c>
      <c r="B274" s="22">
        <v>54.49</v>
      </c>
      <c r="C274" s="23">
        <v>921060</v>
      </c>
      <c r="D274" s="5">
        <v>0.59</v>
      </c>
    </row>
    <row r="275" spans="1:4">
      <c r="A275" s="17">
        <v>45660</v>
      </c>
      <c r="B275" s="22">
        <v>54.17</v>
      </c>
      <c r="C275" s="23">
        <v>1210000</v>
      </c>
      <c r="D275" s="5">
        <v>-3.09</v>
      </c>
    </row>
    <row r="276" spans="1:4">
      <c r="A276" s="17">
        <v>45659</v>
      </c>
      <c r="B276" s="22">
        <v>55.9</v>
      </c>
      <c r="C276" s="23">
        <v>1330000</v>
      </c>
      <c r="D276" s="5">
        <v>3.31</v>
      </c>
    </row>
    <row r="277" spans="1:4">
      <c r="A277" s="17">
        <v>45657</v>
      </c>
      <c r="B277" s="22">
        <v>54.11</v>
      </c>
      <c r="C277" s="23">
        <v>237990</v>
      </c>
      <c r="D277" s="5">
        <v>0.04</v>
      </c>
    </row>
    <row r="278" spans="1:4">
      <c r="A278" s="17">
        <v>45656</v>
      </c>
      <c r="B278" s="22">
        <v>54.09</v>
      </c>
      <c r="C278" s="23">
        <v>440160</v>
      </c>
      <c r="D278" s="5">
        <v>-0.15</v>
      </c>
    </row>
    <row r="279" spans="1:4">
      <c r="A279" s="17">
        <v>45653</v>
      </c>
      <c r="B279" s="22">
        <v>54.17</v>
      </c>
      <c r="C279" s="23">
        <v>275110</v>
      </c>
      <c r="D279" s="5">
        <v>0.15</v>
      </c>
    </row>
    <row r="280" spans="1:4">
      <c r="A280" s="17">
        <v>45652</v>
      </c>
      <c r="B280" s="22">
        <v>54.09</v>
      </c>
      <c r="C280" s="23">
        <v>283080</v>
      </c>
      <c r="D280" s="5">
        <v>0.17</v>
      </c>
    </row>
    <row r="281" spans="1:4">
      <c r="A281" s="17">
        <v>45650</v>
      </c>
      <c r="B281" s="22">
        <v>54</v>
      </c>
      <c r="C281" s="23">
        <v>152250</v>
      </c>
      <c r="D281" s="5">
        <v>0.54</v>
      </c>
    </row>
    <row r="282" spans="1:4">
      <c r="A282" s="17">
        <v>45649</v>
      </c>
      <c r="B282" s="22">
        <v>53.71</v>
      </c>
      <c r="C282" s="23">
        <v>504360</v>
      </c>
      <c r="D282" s="5">
        <v>0.28000000000000003</v>
      </c>
    </row>
    <row r="283" spans="1:4">
      <c r="A283" s="17">
        <v>45646</v>
      </c>
      <c r="B283" s="22">
        <v>53.56</v>
      </c>
      <c r="C283" s="23">
        <v>707530</v>
      </c>
      <c r="D283" s="5">
        <v>-0.67</v>
      </c>
    </row>
    <row r="284" spans="1:4">
      <c r="A284" s="17">
        <v>45645</v>
      </c>
      <c r="B284" s="22">
        <v>53.92</v>
      </c>
      <c r="C284" s="23">
        <v>921750</v>
      </c>
      <c r="D284" s="5">
        <v>-1.8</v>
      </c>
    </row>
    <row r="285" spans="1:4">
      <c r="A285" s="17">
        <v>45644</v>
      </c>
      <c r="B285" s="22">
        <v>54.91</v>
      </c>
      <c r="C285" s="23">
        <v>975220</v>
      </c>
      <c r="D285" s="5">
        <v>-5.49</v>
      </c>
    </row>
    <row r="286" spans="1:4">
      <c r="A286" s="17">
        <v>45643</v>
      </c>
      <c r="B286" s="22">
        <v>58.1</v>
      </c>
      <c r="C286" s="23">
        <v>931670</v>
      </c>
      <c r="D286" s="5">
        <v>0.17</v>
      </c>
    </row>
    <row r="287" spans="1:4">
      <c r="A287" s="17">
        <v>45642</v>
      </c>
      <c r="B287" s="22">
        <v>58</v>
      </c>
      <c r="C287" s="23">
        <v>811520</v>
      </c>
      <c r="D287" s="5">
        <v>0.03</v>
      </c>
    </row>
    <row r="288" spans="1:4">
      <c r="A288" s="17">
        <v>45639</v>
      </c>
      <c r="B288" s="22">
        <v>57.98</v>
      </c>
      <c r="C288" s="23">
        <v>801470</v>
      </c>
      <c r="D288" s="5">
        <v>-0.74</v>
      </c>
    </row>
    <row r="289" spans="1:4">
      <c r="A289" s="17">
        <v>45638</v>
      </c>
      <c r="B289" s="22">
        <v>58.41</v>
      </c>
      <c r="C289" s="23">
        <v>1570000</v>
      </c>
      <c r="D289" s="5">
        <v>0.46</v>
      </c>
    </row>
    <row r="290" spans="1:4">
      <c r="A290" s="17">
        <v>45637</v>
      </c>
      <c r="B290" s="22">
        <v>58.14</v>
      </c>
      <c r="C290" s="23">
        <v>1310000</v>
      </c>
      <c r="D290" s="5">
        <v>4.21</v>
      </c>
    </row>
    <row r="291" spans="1:4">
      <c r="A291" s="17">
        <v>45636</v>
      </c>
      <c r="B291" s="22">
        <v>55.79</v>
      </c>
      <c r="C291" s="23">
        <v>1510000</v>
      </c>
      <c r="D291" s="5">
        <v>-2.87</v>
      </c>
    </row>
    <row r="292" spans="1:4">
      <c r="A292" s="17">
        <v>45635</v>
      </c>
      <c r="B292" s="22">
        <v>57.44</v>
      </c>
      <c r="C292" s="23">
        <v>1500000</v>
      </c>
      <c r="D292" s="5">
        <v>3.74</v>
      </c>
    </row>
    <row r="293" spans="1:4">
      <c r="A293" s="17">
        <v>45632</v>
      </c>
      <c r="B293" s="22">
        <v>55.37</v>
      </c>
      <c r="C293" s="23">
        <v>1360000</v>
      </c>
      <c r="D293" s="5">
        <v>-1.32</v>
      </c>
    </row>
    <row r="294" spans="1:4">
      <c r="A294" s="17">
        <v>45631</v>
      </c>
      <c r="B294" s="22">
        <v>56.11</v>
      </c>
      <c r="C294" s="23">
        <v>1030000</v>
      </c>
      <c r="D294" s="5">
        <v>1.1499999999999999</v>
      </c>
    </row>
    <row r="295" spans="1:4">
      <c r="A295" s="17">
        <v>45630</v>
      </c>
      <c r="B295" s="22">
        <v>55.47</v>
      </c>
      <c r="C295" s="23">
        <v>1620000</v>
      </c>
      <c r="D295" s="5">
        <v>-1</v>
      </c>
    </row>
    <row r="296" spans="1:4">
      <c r="A296" s="17">
        <v>45629</v>
      </c>
      <c r="B296" s="22">
        <v>56.03</v>
      </c>
      <c r="C296" s="23">
        <v>1660000</v>
      </c>
      <c r="D296" s="5">
        <v>5.18</v>
      </c>
    </row>
    <row r="297" spans="1:4">
      <c r="A297" s="17">
        <v>45628</v>
      </c>
      <c r="B297" s="22">
        <v>53.27</v>
      </c>
      <c r="C297" s="23">
        <v>859720</v>
      </c>
      <c r="D297" s="5">
        <v>0.08</v>
      </c>
    </row>
    <row r="298" spans="1:4">
      <c r="A298" s="17">
        <v>45625</v>
      </c>
      <c r="B298" s="22">
        <v>53.23</v>
      </c>
      <c r="C298" s="23">
        <v>623090</v>
      </c>
      <c r="D298" s="5">
        <v>-0.26</v>
      </c>
    </row>
    <row r="299" spans="1:4">
      <c r="A299" s="17">
        <v>45623</v>
      </c>
      <c r="B299" s="22">
        <v>53.37</v>
      </c>
      <c r="C299" s="23">
        <v>811240</v>
      </c>
      <c r="D299" s="5">
        <v>-0.28000000000000003</v>
      </c>
    </row>
    <row r="300" spans="1:4">
      <c r="A300" s="17">
        <v>45622</v>
      </c>
      <c r="B300" s="22">
        <v>53.52</v>
      </c>
      <c r="C300" s="23">
        <v>1750000</v>
      </c>
      <c r="D300" s="5">
        <v>-3.5</v>
      </c>
    </row>
    <row r="301" spans="1:4">
      <c r="A301" s="17">
        <v>45621</v>
      </c>
      <c r="B301" s="22">
        <v>55.46</v>
      </c>
      <c r="C301" s="23">
        <v>2510000</v>
      </c>
      <c r="D301" s="5">
        <v>-1.86</v>
      </c>
    </row>
    <row r="302" spans="1:4">
      <c r="A302" s="17">
        <v>45618</v>
      </c>
      <c r="B302" s="22">
        <v>56.51</v>
      </c>
      <c r="C302" s="23">
        <v>2300000</v>
      </c>
      <c r="D302" s="5">
        <v>9.16</v>
      </c>
    </row>
    <row r="303" spans="1:4">
      <c r="A303" s="17">
        <v>45617</v>
      </c>
      <c r="B303" s="22">
        <v>51.77</v>
      </c>
      <c r="C303" s="23">
        <v>1350000</v>
      </c>
      <c r="D303" s="5">
        <v>1.43</v>
      </c>
    </row>
    <row r="304" spans="1:4">
      <c r="A304" s="17">
        <v>45616</v>
      </c>
      <c r="B304" s="22">
        <v>51.04</v>
      </c>
      <c r="C304" s="23">
        <v>1080000</v>
      </c>
      <c r="D304" s="5">
        <v>2.33</v>
      </c>
    </row>
    <row r="305" spans="1:4">
      <c r="A305" s="17">
        <v>45615</v>
      </c>
      <c r="B305" s="22">
        <v>49.88</v>
      </c>
      <c r="C305" s="23">
        <v>617950</v>
      </c>
      <c r="D305" s="5">
        <v>-0.42</v>
      </c>
    </row>
    <row r="306" spans="1:4">
      <c r="A306" s="17">
        <v>45614</v>
      </c>
      <c r="B306" s="22">
        <v>50.09</v>
      </c>
      <c r="C306" s="23">
        <v>1200000</v>
      </c>
      <c r="D306" s="5">
        <v>5.21</v>
      </c>
    </row>
    <row r="307" spans="1:4">
      <c r="A307" s="17">
        <v>45611</v>
      </c>
      <c r="B307" s="22">
        <v>47.61</v>
      </c>
      <c r="C307" s="23">
        <v>603810</v>
      </c>
      <c r="D307" s="5">
        <v>-3.29</v>
      </c>
    </row>
    <row r="308" spans="1:4">
      <c r="A308" s="17">
        <v>45610</v>
      </c>
      <c r="B308" s="22">
        <v>49.23</v>
      </c>
      <c r="C308" s="23">
        <v>762960</v>
      </c>
      <c r="D308" s="5">
        <v>3.01</v>
      </c>
    </row>
    <row r="309" spans="1:4">
      <c r="A309" s="17">
        <v>45609</v>
      </c>
      <c r="B309" s="22">
        <v>47.79</v>
      </c>
      <c r="C309" s="23">
        <v>627360</v>
      </c>
      <c r="D309" s="5">
        <v>0.25</v>
      </c>
    </row>
    <row r="310" spans="1:4">
      <c r="A310" s="17">
        <v>45608</v>
      </c>
      <c r="B310" s="22">
        <v>47.67</v>
      </c>
      <c r="C310" s="23">
        <v>825730</v>
      </c>
      <c r="D310" s="5">
        <v>0.74</v>
      </c>
    </row>
    <row r="311" spans="1:4">
      <c r="A311" s="17">
        <v>45607</v>
      </c>
      <c r="B311" s="22">
        <v>47.32</v>
      </c>
      <c r="C311" s="23">
        <v>847200</v>
      </c>
      <c r="D311" s="5">
        <v>-0.65</v>
      </c>
    </row>
    <row r="312" spans="1:4">
      <c r="A312" s="17">
        <v>45604</v>
      </c>
      <c r="B312" s="22">
        <v>47.63</v>
      </c>
      <c r="C312" s="23">
        <v>918360</v>
      </c>
      <c r="D312" s="5">
        <v>-1.92</v>
      </c>
    </row>
    <row r="313" spans="1:4">
      <c r="A313" s="17">
        <v>45603</v>
      </c>
      <c r="B313" s="22">
        <v>48.56</v>
      </c>
      <c r="C313" s="23">
        <v>1340000</v>
      </c>
      <c r="D313" s="5">
        <v>-2.94</v>
      </c>
    </row>
    <row r="314" spans="1:4">
      <c r="A314" s="17">
        <v>45602</v>
      </c>
      <c r="B314" s="22">
        <v>50.03</v>
      </c>
      <c r="C314" s="23">
        <v>1790000</v>
      </c>
      <c r="D314" s="5">
        <v>-0.56000000000000005</v>
      </c>
    </row>
    <row r="315" spans="1:4">
      <c r="A315" s="17">
        <v>45601</v>
      </c>
      <c r="B315" s="22">
        <v>50.31</v>
      </c>
      <c r="C315" s="23">
        <v>605740</v>
      </c>
      <c r="D315" s="5">
        <v>-0.14000000000000001</v>
      </c>
    </row>
    <row r="316" spans="1:4">
      <c r="A316" s="17">
        <v>45600</v>
      </c>
      <c r="B316" s="22">
        <v>50.38</v>
      </c>
      <c r="C316" s="23">
        <v>1020000</v>
      </c>
      <c r="D316" s="5">
        <v>2.0699999999999998</v>
      </c>
    </row>
    <row r="317" spans="1:4">
      <c r="A317" s="17">
        <v>45597</v>
      </c>
      <c r="B317" s="22">
        <v>49.36</v>
      </c>
      <c r="C317" s="23">
        <v>966210</v>
      </c>
      <c r="D317" s="5">
        <v>-1</v>
      </c>
    </row>
    <row r="318" spans="1:4">
      <c r="A318" s="17">
        <v>45596</v>
      </c>
      <c r="B318" s="22">
        <v>49.86</v>
      </c>
      <c r="C318" s="23">
        <v>689760</v>
      </c>
      <c r="D318" s="5">
        <v>-1.66</v>
      </c>
    </row>
    <row r="319" spans="1:4">
      <c r="A319" s="17">
        <v>45595</v>
      </c>
      <c r="B319" s="22">
        <v>50.7</v>
      </c>
      <c r="C319" s="23">
        <v>660930</v>
      </c>
      <c r="D319" s="5">
        <v>0.1</v>
      </c>
    </row>
    <row r="320" spans="1:4">
      <c r="A320" s="17">
        <v>45594</v>
      </c>
      <c r="B320" s="22">
        <v>50.65</v>
      </c>
      <c r="C320" s="23">
        <v>1400000</v>
      </c>
      <c r="D320" s="5">
        <v>-2.75</v>
      </c>
    </row>
    <row r="321" spans="1:4">
      <c r="A321" s="17">
        <v>45593</v>
      </c>
      <c r="B321" s="22">
        <v>52.08</v>
      </c>
      <c r="C321" s="23">
        <v>2050000</v>
      </c>
      <c r="D321" s="5">
        <v>-1.61</v>
      </c>
    </row>
    <row r="322" spans="1:4">
      <c r="A322" s="17">
        <v>45590</v>
      </c>
      <c r="B322" s="22">
        <v>52.93</v>
      </c>
      <c r="C322" s="23">
        <v>2720000</v>
      </c>
      <c r="D322" s="5">
        <v>8.42</v>
      </c>
    </row>
    <row r="323" spans="1:4">
      <c r="A323" s="17">
        <v>45589</v>
      </c>
      <c r="B323" s="22">
        <v>48.82</v>
      </c>
      <c r="C323" s="23">
        <v>1010000</v>
      </c>
      <c r="D323" s="5">
        <v>2.2599999999999998</v>
      </c>
    </row>
    <row r="324" spans="1:4">
      <c r="A324" s="17">
        <v>45588</v>
      </c>
      <c r="B324" s="22">
        <v>47.74</v>
      </c>
      <c r="C324" s="23">
        <v>699020</v>
      </c>
      <c r="D324" s="5">
        <v>0.15</v>
      </c>
    </row>
    <row r="325" spans="1:4">
      <c r="A325" s="17">
        <v>45587</v>
      </c>
      <c r="B325" s="22">
        <v>47.67</v>
      </c>
      <c r="C325" s="23">
        <v>754540</v>
      </c>
      <c r="D325" s="5">
        <v>-1.39</v>
      </c>
    </row>
    <row r="326" spans="1:4">
      <c r="A326" s="17">
        <v>45586</v>
      </c>
      <c r="B326" s="22">
        <v>48.34</v>
      </c>
      <c r="C326" s="23">
        <v>511710</v>
      </c>
      <c r="D326" s="5">
        <v>0.28999999999999998</v>
      </c>
    </row>
    <row r="327" spans="1:4">
      <c r="A327" s="17">
        <v>45583</v>
      </c>
      <c r="B327" s="22">
        <v>48.2</v>
      </c>
      <c r="C327" s="23">
        <v>501360</v>
      </c>
      <c r="D327" s="5">
        <v>-1.49</v>
      </c>
    </row>
    <row r="328" spans="1:4">
      <c r="A328" s="17">
        <v>45582</v>
      </c>
      <c r="B328" s="22">
        <v>48.93</v>
      </c>
      <c r="C328" s="23">
        <v>683640</v>
      </c>
      <c r="D328" s="5">
        <v>4.33</v>
      </c>
    </row>
    <row r="329" spans="1:4">
      <c r="A329" s="17">
        <v>45581</v>
      </c>
      <c r="B329" s="22">
        <v>46.9</v>
      </c>
      <c r="C329" s="23">
        <v>583990</v>
      </c>
      <c r="D329" s="5">
        <v>-1.96</v>
      </c>
    </row>
    <row r="330" spans="1:4">
      <c r="A330" s="17">
        <v>45580</v>
      </c>
      <c r="B330" s="22">
        <v>47.84</v>
      </c>
      <c r="C330" s="23">
        <v>719920</v>
      </c>
      <c r="D330" s="5">
        <v>-1.71</v>
      </c>
    </row>
    <row r="331" spans="1:4">
      <c r="A331" s="17">
        <v>45579</v>
      </c>
      <c r="B331" s="22">
        <v>48.67</v>
      </c>
      <c r="C331" s="23">
        <v>360050</v>
      </c>
      <c r="D331" s="5">
        <v>-1.36</v>
      </c>
    </row>
    <row r="332" spans="1:4">
      <c r="A332" s="17">
        <v>45576</v>
      </c>
      <c r="B332" s="22">
        <v>49.34</v>
      </c>
      <c r="C332" s="23">
        <v>321210</v>
      </c>
      <c r="D332" s="5">
        <v>0.63</v>
      </c>
    </row>
    <row r="333" spans="1:4">
      <c r="A333" s="17">
        <v>45575</v>
      </c>
      <c r="B333" s="22">
        <v>49.03</v>
      </c>
      <c r="C333" s="23">
        <v>712870</v>
      </c>
      <c r="D333" s="5">
        <v>-0.08</v>
      </c>
    </row>
    <row r="334" spans="1:4">
      <c r="A334" s="17">
        <v>45574</v>
      </c>
      <c r="B334" s="22">
        <v>49.07</v>
      </c>
      <c r="C334" s="23">
        <v>833120</v>
      </c>
      <c r="D334" s="5">
        <v>2.83</v>
      </c>
    </row>
    <row r="335" spans="1:4">
      <c r="A335" s="17">
        <v>45573</v>
      </c>
      <c r="B335" s="22">
        <v>47.72</v>
      </c>
      <c r="C335" s="23">
        <v>531030</v>
      </c>
      <c r="D335" s="5">
        <v>-0.4</v>
      </c>
    </row>
    <row r="336" spans="1:4">
      <c r="A336" s="17">
        <v>45572</v>
      </c>
      <c r="B336" s="22">
        <v>47.91</v>
      </c>
      <c r="C336" s="23">
        <v>446620</v>
      </c>
      <c r="D336" s="5">
        <v>-1.36</v>
      </c>
    </row>
    <row r="337" spans="1:4">
      <c r="A337" s="17">
        <v>45569</v>
      </c>
      <c r="B337" s="22">
        <v>48.57</v>
      </c>
      <c r="C337" s="23">
        <v>904190</v>
      </c>
      <c r="D337" s="5">
        <v>-0.56999999999999995</v>
      </c>
    </row>
    <row r="338" spans="1:4">
      <c r="A338" s="17">
        <v>45568</v>
      </c>
      <c r="B338" s="22">
        <v>48.85</v>
      </c>
      <c r="C338" s="23">
        <v>995670</v>
      </c>
      <c r="D338" s="5">
        <v>6.85</v>
      </c>
    </row>
    <row r="339" spans="1:4">
      <c r="A339" s="17">
        <v>45567</v>
      </c>
      <c r="B339" s="22">
        <v>45.72</v>
      </c>
      <c r="C339" s="23">
        <v>907580</v>
      </c>
      <c r="D339" s="5">
        <v>0.73</v>
      </c>
    </row>
    <row r="340" spans="1:4">
      <c r="A340" s="17">
        <v>45566</v>
      </c>
      <c r="B340" s="22">
        <v>45.39</v>
      </c>
      <c r="C340" s="23">
        <v>987000</v>
      </c>
      <c r="D340" s="5">
        <v>2.74</v>
      </c>
    </row>
    <row r="341" spans="1:4">
      <c r="A341" s="17">
        <v>45565</v>
      </c>
      <c r="B341" s="22">
        <v>44.18</v>
      </c>
      <c r="C341" s="23">
        <v>1150000</v>
      </c>
      <c r="D341" s="5">
        <v>-3.89</v>
      </c>
    </row>
    <row r="342" spans="1:4">
      <c r="A342" s="17">
        <v>45562</v>
      </c>
      <c r="B342" s="22">
        <v>45.97</v>
      </c>
      <c r="C342" s="23">
        <v>853490</v>
      </c>
      <c r="D342" s="5">
        <v>1.06</v>
      </c>
    </row>
    <row r="343" spans="1:4">
      <c r="A343" s="17">
        <v>45561</v>
      </c>
      <c r="B343" s="22">
        <v>45.49</v>
      </c>
      <c r="C343" s="23">
        <v>2330000</v>
      </c>
      <c r="D343" s="5">
        <v>-6.05</v>
      </c>
    </row>
    <row r="344" spans="1:4">
      <c r="A344" s="17">
        <v>45560</v>
      </c>
      <c r="B344" s="22">
        <v>48.42</v>
      </c>
      <c r="C344" s="23">
        <v>706590</v>
      </c>
      <c r="D344" s="5">
        <v>-3.41</v>
      </c>
    </row>
    <row r="345" spans="1:4">
      <c r="A345" s="17">
        <v>45559</v>
      </c>
      <c r="B345" s="22">
        <v>50.13</v>
      </c>
      <c r="C345" s="23">
        <v>1120000</v>
      </c>
      <c r="D345" s="5">
        <v>5.43</v>
      </c>
    </row>
    <row r="346" spans="1:4">
      <c r="A346" s="17">
        <v>45558</v>
      </c>
      <c r="B346" s="22">
        <v>47.55</v>
      </c>
      <c r="C346" s="23">
        <v>787940</v>
      </c>
      <c r="D346" s="5">
        <v>0.32</v>
      </c>
    </row>
    <row r="347" spans="1:4">
      <c r="A347" s="17">
        <v>45555</v>
      </c>
      <c r="B347" s="22">
        <v>47.4</v>
      </c>
      <c r="C347" s="23">
        <v>709550</v>
      </c>
      <c r="D347" s="5">
        <v>-0.63</v>
      </c>
    </row>
    <row r="348" spans="1:4">
      <c r="A348" s="17">
        <v>45554</v>
      </c>
      <c r="B348" s="22">
        <v>47.7</v>
      </c>
      <c r="C348" s="23">
        <v>823780</v>
      </c>
      <c r="D348" s="5">
        <v>1.62</v>
      </c>
    </row>
    <row r="349" spans="1:4">
      <c r="A349" s="17">
        <v>45553</v>
      </c>
      <c r="B349" s="22">
        <v>46.94</v>
      </c>
      <c r="C349" s="23">
        <v>753210</v>
      </c>
      <c r="D349" s="5">
        <v>-1.57</v>
      </c>
    </row>
    <row r="350" spans="1:4">
      <c r="A350" s="17">
        <v>45552</v>
      </c>
      <c r="B350" s="22">
        <v>47.69</v>
      </c>
      <c r="C350" s="23">
        <v>627920</v>
      </c>
      <c r="D350" s="5">
        <v>-0.23</v>
      </c>
    </row>
    <row r="351" spans="1:4">
      <c r="A351" s="17">
        <v>45551</v>
      </c>
      <c r="B351" s="22">
        <v>47.8</v>
      </c>
      <c r="C351" s="23">
        <v>396630</v>
      </c>
      <c r="D351" s="5">
        <v>0.89</v>
      </c>
    </row>
    <row r="352" spans="1:4">
      <c r="A352" s="17">
        <v>45548</v>
      </c>
      <c r="B352" s="22">
        <v>47.38</v>
      </c>
      <c r="C352" s="23">
        <v>452820</v>
      </c>
      <c r="D352" s="5">
        <v>1.59</v>
      </c>
    </row>
    <row r="353" spans="1:4">
      <c r="A353" s="17">
        <v>45547</v>
      </c>
      <c r="B353" s="22">
        <v>46.64</v>
      </c>
      <c r="C353" s="23">
        <v>410230</v>
      </c>
      <c r="D353" s="5">
        <v>2.21</v>
      </c>
    </row>
    <row r="354" spans="1:4">
      <c r="A354" s="17">
        <v>45546</v>
      </c>
      <c r="B354" s="22">
        <v>45.63</v>
      </c>
      <c r="C354" s="23">
        <v>1050000</v>
      </c>
      <c r="D354" s="5">
        <v>0.2</v>
      </c>
    </row>
    <row r="355" spans="1:4">
      <c r="A355" s="17">
        <v>45545</v>
      </c>
      <c r="B355" s="22">
        <v>45.54</v>
      </c>
      <c r="C355" s="23">
        <v>1090000</v>
      </c>
      <c r="D355" s="5">
        <v>-4.7300000000000004</v>
      </c>
    </row>
    <row r="356" spans="1:4">
      <c r="A356" s="17">
        <v>45544</v>
      </c>
      <c r="B356" s="22">
        <v>47.8</v>
      </c>
      <c r="C356" s="23">
        <v>508190</v>
      </c>
      <c r="D356" s="5">
        <v>-0.46</v>
      </c>
    </row>
    <row r="357" spans="1:4">
      <c r="A357" s="17">
        <v>45541</v>
      </c>
      <c r="B357" s="22">
        <v>48.02</v>
      </c>
      <c r="C357" s="23">
        <v>909330</v>
      </c>
      <c r="D357" s="5">
        <v>-1.03</v>
      </c>
    </row>
    <row r="358" spans="1:4">
      <c r="A358" s="17">
        <v>45540</v>
      </c>
      <c r="B358" s="22">
        <v>48.52</v>
      </c>
      <c r="C358" s="23">
        <v>682390</v>
      </c>
      <c r="D358" s="5">
        <v>-2.04</v>
      </c>
    </row>
    <row r="359" spans="1:4">
      <c r="A359" s="17">
        <v>45539</v>
      </c>
      <c r="B359" s="22">
        <v>49.53</v>
      </c>
      <c r="C359" s="23">
        <v>1230000</v>
      </c>
      <c r="D359" s="5">
        <v>0.9</v>
      </c>
    </row>
    <row r="360" spans="1:4">
      <c r="A360" s="17">
        <v>45538</v>
      </c>
      <c r="B360" s="22">
        <v>49.09</v>
      </c>
      <c r="C360" s="23">
        <v>1310000</v>
      </c>
      <c r="D360" s="5">
        <v>-5.83</v>
      </c>
    </row>
    <row r="361" spans="1:4">
      <c r="A361" s="17">
        <v>45534</v>
      </c>
      <c r="B361" s="22">
        <v>52.13</v>
      </c>
      <c r="C361" s="23">
        <v>657170</v>
      </c>
      <c r="D361" s="5">
        <v>0.81</v>
      </c>
    </row>
    <row r="362" spans="1:4">
      <c r="A362" s="17">
        <v>45533</v>
      </c>
      <c r="B362" s="22">
        <v>51.71</v>
      </c>
      <c r="C362" s="23">
        <v>545760</v>
      </c>
      <c r="D362" s="5">
        <v>1.73</v>
      </c>
    </row>
    <row r="363" spans="1:4">
      <c r="A363" s="17">
        <v>45532</v>
      </c>
      <c r="B363" s="22">
        <v>50.83</v>
      </c>
      <c r="C363" s="23">
        <v>432070</v>
      </c>
      <c r="D363" s="5">
        <v>-0.04</v>
      </c>
    </row>
    <row r="364" spans="1:4">
      <c r="A364" s="17">
        <v>45531</v>
      </c>
      <c r="B364" s="22">
        <v>50.85</v>
      </c>
      <c r="C364" s="23">
        <v>385370</v>
      </c>
      <c r="D364" s="5">
        <v>-0.95</v>
      </c>
    </row>
    <row r="365" spans="1:4">
      <c r="A365" s="17">
        <v>45530</v>
      </c>
      <c r="B365" s="22">
        <v>51.34</v>
      </c>
      <c r="C365" s="23">
        <v>1060000</v>
      </c>
      <c r="D365" s="5">
        <v>3.47</v>
      </c>
    </row>
    <row r="366" spans="1:4">
      <c r="A366" s="17">
        <v>45527</v>
      </c>
      <c r="B366" s="22">
        <v>49.62</v>
      </c>
      <c r="C366" s="23">
        <v>373620</v>
      </c>
      <c r="D366" s="5">
        <v>2.84</v>
      </c>
    </row>
    <row r="367" spans="1:4">
      <c r="A367" s="17">
        <v>45526</v>
      </c>
      <c r="B367" s="22">
        <v>48.25</v>
      </c>
      <c r="C367" s="23">
        <v>354950</v>
      </c>
      <c r="D367" s="5">
        <v>-0.57999999999999996</v>
      </c>
    </row>
    <row r="368" spans="1:4">
      <c r="A368" s="17">
        <v>45525</v>
      </c>
      <c r="B368" s="22">
        <v>48.53</v>
      </c>
      <c r="C368" s="23">
        <v>592790</v>
      </c>
      <c r="D368" s="5">
        <v>-2.78</v>
      </c>
    </row>
    <row r="369" spans="1:4">
      <c r="A369" s="17">
        <v>45524</v>
      </c>
      <c r="B369" s="22">
        <v>49.92</v>
      </c>
      <c r="C369" s="23">
        <v>1450000</v>
      </c>
      <c r="D369" s="5">
        <v>1.67</v>
      </c>
    </row>
    <row r="370" spans="1:4">
      <c r="A370" s="17">
        <v>45523</v>
      </c>
      <c r="B370" s="22">
        <v>49.1</v>
      </c>
      <c r="C370" s="23">
        <v>486070</v>
      </c>
      <c r="D370" s="5">
        <v>-1.35</v>
      </c>
    </row>
    <row r="371" spans="1:4">
      <c r="A371" s="17">
        <v>45520</v>
      </c>
      <c r="B371" s="22">
        <v>49.77</v>
      </c>
      <c r="C371" s="23">
        <v>443040</v>
      </c>
      <c r="D371" s="5">
        <v>0.38</v>
      </c>
    </row>
    <row r="372" spans="1:4">
      <c r="A372" s="17">
        <v>45519</v>
      </c>
      <c r="B372" s="22">
        <v>49.58</v>
      </c>
      <c r="C372" s="23">
        <v>556620</v>
      </c>
      <c r="D372" s="5">
        <v>0.71</v>
      </c>
    </row>
    <row r="373" spans="1:4">
      <c r="A373" s="17">
        <v>45518</v>
      </c>
      <c r="B373" s="22">
        <v>49.23</v>
      </c>
      <c r="C373" s="23">
        <v>581340</v>
      </c>
      <c r="D373" s="5">
        <v>1.03</v>
      </c>
    </row>
    <row r="374" spans="1:4">
      <c r="A374" s="17">
        <v>45517</v>
      </c>
      <c r="B374" s="22">
        <v>48.73</v>
      </c>
      <c r="C374" s="23">
        <v>552370</v>
      </c>
      <c r="D374" s="5">
        <v>-0.06</v>
      </c>
    </row>
    <row r="375" spans="1:4">
      <c r="A375" s="17">
        <v>45516</v>
      </c>
      <c r="B375" s="22">
        <v>48.76</v>
      </c>
      <c r="C375" s="23">
        <v>1050000</v>
      </c>
      <c r="D375" s="5">
        <v>6.39</v>
      </c>
    </row>
    <row r="376" spans="1:4">
      <c r="A376" s="17">
        <v>45513</v>
      </c>
      <c r="B376" s="22">
        <v>45.83</v>
      </c>
      <c r="C376" s="23">
        <v>632840</v>
      </c>
      <c r="D376" s="5">
        <v>2.97</v>
      </c>
    </row>
    <row r="377" spans="1:4">
      <c r="A377" s="17">
        <v>45512</v>
      </c>
      <c r="B377" s="22">
        <v>44.51</v>
      </c>
      <c r="C377" s="23">
        <v>444870</v>
      </c>
      <c r="D377" s="5">
        <v>3.44</v>
      </c>
    </row>
    <row r="378" spans="1:4">
      <c r="A378" s="17">
        <v>45511</v>
      </c>
      <c r="B378" s="22">
        <v>43.03</v>
      </c>
      <c r="C378" s="23">
        <v>511920</v>
      </c>
      <c r="D378" s="5">
        <v>1.61</v>
      </c>
    </row>
    <row r="379" spans="1:4">
      <c r="A379" s="17">
        <v>45510</v>
      </c>
      <c r="B379" s="22">
        <v>42.35</v>
      </c>
      <c r="C379" s="23">
        <v>450860</v>
      </c>
      <c r="D379" s="5">
        <v>4.28</v>
      </c>
    </row>
    <row r="380" spans="1:4">
      <c r="A380" s="17">
        <v>45509</v>
      </c>
      <c r="B380" s="22">
        <v>40.61</v>
      </c>
      <c r="C380" s="23">
        <v>941860</v>
      </c>
      <c r="D380" s="5">
        <v>1.17</v>
      </c>
    </row>
    <row r="381" spans="1:4">
      <c r="A381" s="17">
        <v>45506</v>
      </c>
      <c r="B381" s="22">
        <v>40.14</v>
      </c>
      <c r="C381" s="23">
        <v>810030</v>
      </c>
      <c r="D381" s="5">
        <v>-6.39</v>
      </c>
    </row>
    <row r="382" spans="1:4">
      <c r="A382" s="17">
        <v>45505</v>
      </c>
      <c r="B382" s="22">
        <v>42.88</v>
      </c>
      <c r="C382" s="23">
        <v>319990</v>
      </c>
      <c r="D382" s="5">
        <v>-4.84</v>
      </c>
    </row>
    <row r="383" spans="1:4">
      <c r="A383" s="17">
        <v>45504</v>
      </c>
      <c r="B383" s="22">
        <v>45.06</v>
      </c>
      <c r="C383" s="23">
        <v>809870</v>
      </c>
      <c r="D383" s="5">
        <v>7.18</v>
      </c>
    </row>
    <row r="384" spans="1:4">
      <c r="A384" s="17">
        <v>45503</v>
      </c>
      <c r="B384" s="22">
        <v>42.04</v>
      </c>
      <c r="C384" s="23">
        <v>501660</v>
      </c>
      <c r="D384" s="5">
        <v>-3.11</v>
      </c>
    </row>
    <row r="385" spans="1:4">
      <c r="A385" s="17">
        <v>45502</v>
      </c>
      <c r="B385" s="22">
        <v>43.39</v>
      </c>
      <c r="C385" s="23">
        <v>427150</v>
      </c>
      <c r="D385" s="5">
        <v>-2.69</v>
      </c>
    </row>
    <row r="386" spans="1:4">
      <c r="A386" s="17">
        <v>45499</v>
      </c>
      <c r="B386" s="22">
        <v>44.59</v>
      </c>
      <c r="C386" s="23">
        <v>200170</v>
      </c>
      <c r="D386" s="5">
        <v>0.77</v>
      </c>
    </row>
    <row r="387" spans="1:4">
      <c r="A387" s="17">
        <v>45498</v>
      </c>
      <c r="B387" s="22">
        <v>44.25</v>
      </c>
      <c r="C387" s="23">
        <v>492230</v>
      </c>
      <c r="D387" s="5">
        <v>-1.54</v>
      </c>
    </row>
    <row r="388" spans="1:4">
      <c r="A388" s="17">
        <v>45497</v>
      </c>
      <c r="B388" s="22">
        <v>44.94</v>
      </c>
      <c r="C388" s="23">
        <v>407300</v>
      </c>
      <c r="D388" s="5">
        <v>-5.17</v>
      </c>
    </row>
    <row r="389" spans="1:4">
      <c r="A389" s="17">
        <v>45496</v>
      </c>
      <c r="B389" s="22">
        <v>47.39</v>
      </c>
      <c r="C389" s="23">
        <v>237950</v>
      </c>
      <c r="D389" s="5">
        <v>-0.92</v>
      </c>
    </row>
    <row r="390" spans="1:4">
      <c r="A390" s="17">
        <v>45495</v>
      </c>
      <c r="B390" s="22">
        <v>47.83</v>
      </c>
      <c r="C390" s="23">
        <v>349880</v>
      </c>
      <c r="D390" s="5">
        <v>-0.77</v>
      </c>
    </row>
    <row r="391" spans="1:4">
      <c r="A391" s="17">
        <v>45492</v>
      </c>
      <c r="B391" s="22">
        <v>48.2</v>
      </c>
      <c r="C391" s="23">
        <v>1200000</v>
      </c>
      <c r="D391" s="5">
        <v>0.48</v>
      </c>
    </row>
    <row r="392" spans="1:4">
      <c r="A392" s="17">
        <v>45491</v>
      </c>
      <c r="B392" s="22">
        <v>47.97</v>
      </c>
      <c r="C392" s="23">
        <v>417810</v>
      </c>
      <c r="D392" s="5">
        <v>2.37</v>
      </c>
    </row>
    <row r="393" spans="1:4">
      <c r="A393" s="17">
        <v>45490</v>
      </c>
      <c r="B393" s="22">
        <v>46.86</v>
      </c>
      <c r="C393" s="23">
        <v>438460</v>
      </c>
      <c r="D393" s="5">
        <v>-1.03</v>
      </c>
    </row>
    <row r="394" spans="1:4">
      <c r="A394" s="17">
        <v>45489</v>
      </c>
      <c r="B394" s="22">
        <v>47.35</v>
      </c>
      <c r="C394" s="23">
        <v>456530</v>
      </c>
      <c r="D394" s="5">
        <v>-1.19</v>
      </c>
    </row>
    <row r="395" spans="1:4">
      <c r="A395" s="17">
        <v>45488</v>
      </c>
      <c r="B395" s="22">
        <v>47.92</v>
      </c>
      <c r="C395" s="23">
        <v>473600</v>
      </c>
      <c r="D395" s="5">
        <v>-0.15</v>
      </c>
    </row>
    <row r="396" spans="1:4">
      <c r="A396" s="17">
        <v>45485</v>
      </c>
      <c r="B396" s="22">
        <v>47.99</v>
      </c>
      <c r="C396" s="23">
        <v>818320</v>
      </c>
      <c r="D396" s="5">
        <v>2.39</v>
      </c>
    </row>
    <row r="397" spans="1:4">
      <c r="A397" s="17">
        <v>45484</v>
      </c>
      <c r="B397" s="22">
        <v>46.87</v>
      </c>
      <c r="C397" s="23">
        <v>766560</v>
      </c>
      <c r="D397" s="5">
        <v>0.17</v>
      </c>
    </row>
    <row r="398" spans="1:4">
      <c r="A398" s="17">
        <v>45483</v>
      </c>
      <c r="B398" s="22">
        <v>46.79</v>
      </c>
      <c r="C398" s="23">
        <v>617400</v>
      </c>
      <c r="D398" s="5">
        <v>5.0999999999999996</v>
      </c>
    </row>
    <row r="399" spans="1:4">
      <c r="A399" s="17">
        <v>45482</v>
      </c>
      <c r="B399" s="22">
        <v>44.52</v>
      </c>
      <c r="C399" s="23">
        <v>655080</v>
      </c>
      <c r="D399" s="5">
        <v>-2.0699999999999998</v>
      </c>
    </row>
    <row r="400" spans="1:4">
      <c r="A400" s="17">
        <v>45481</v>
      </c>
      <c r="B400" s="22">
        <v>45.46</v>
      </c>
      <c r="C400" s="23">
        <v>526130</v>
      </c>
      <c r="D400" s="5">
        <v>-0.83</v>
      </c>
    </row>
    <row r="401" spans="1:4">
      <c r="A401" s="17">
        <v>45478</v>
      </c>
      <c r="B401" s="22">
        <v>45.84</v>
      </c>
      <c r="C401" s="23">
        <v>463240</v>
      </c>
      <c r="D401" s="5">
        <v>0.53</v>
      </c>
    </row>
    <row r="402" spans="1:4">
      <c r="A402" s="17">
        <v>45476</v>
      </c>
      <c r="B402" s="22">
        <v>45.6</v>
      </c>
      <c r="C402" s="23">
        <v>475260</v>
      </c>
      <c r="D402" s="5">
        <v>0.18</v>
      </c>
    </row>
    <row r="403" spans="1:4">
      <c r="A403" s="17">
        <v>45475</v>
      </c>
      <c r="B403" s="22">
        <v>45.52</v>
      </c>
      <c r="C403" s="23">
        <v>806800</v>
      </c>
      <c r="D403" s="5">
        <v>3.41</v>
      </c>
    </row>
    <row r="404" spans="1:4">
      <c r="A404" s="17">
        <v>45474</v>
      </c>
      <c r="B404" s="22">
        <v>44.02</v>
      </c>
      <c r="C404" s="23">
        <v>370850</v>
      </c>
      <c r="D404" s="5">
        <v>-3.21</v>
      </c>
    </row>
    <row r="405" spans="1:4">
      <c r="A405" s="17">
        <v>45471</v>
      </c>
      <c r="B405" s="22">
        <v>45.48</v>
      </c>
      <c r="C405" s="23">
        <v>279260</v>
      </c>
      <c r="D405" s="5">
        <v>-0.52</v>
      </c>
    </row>
    <row r="406" spans="1:4">
      <c r="A406" s="17">
        <v>45470</v>
      </c>
      <c r="B406" s="22">
        <v>45.72</v>
      </c>
      <c r="C406" s="23">
        <v>229480</v>
      </c>
      <c r="D406" s="5">
        <v>1.33</v>
      </c>
    </row>
    <row r="407" spans="1:4">
      <c r="A407" s="17">
        <v>45469</v>
      </c>
      <c r="B407" s="22">
        <v>45.12</v>
      </c>
      <c r="C407" s="23">
        <v>461340</v>
      </c>
      <c r="D407" s="5">
        <v>-2.21</v>
      </c>
    </row>
    <row r="408" spans="1:4">
      <c r="A408" s="17">
        <v>45468</v>
      </c>
      <c r="B408" s="22">
        <v>46.14</v>
      </c>
      <c r="C408" s="23">
        <v>802150</v>
      </c>
      <c r="D408" s="5">
        <v>5.27</v>
      </c>
    </row>
    <row r="409" spans="1:4">
      <c r="A409" s="17">
        <v>45467</v>
      </c>
      <c r="B409" s="22">
        <v>43.83</v>
      </c>
      <c r="C409" s="23">
        <v>494750</v>
      </c>
      <c r="D409" s="5">
        <v>2.74</v>
      </c>
    </row>
    <row r="410" spans="1:4">
      <c r="A410" s="17">
        <v>45464</v>
      </c>
      <c r="B410" s="22">
        <v>42.66</v>
      </c>
      <c r="C410" s="23">
        <v>561620</v>
      </c>
      <c r="D410" s="5">
        <v>-1.98</v>
      </c>
    </row>
    <row r="411" spans="1:4">
      <c r="A411" s="17">
        <v>45463</v>
      </c>
      <c r="B411" s="22">
        <v>43.52</v>
      </c>
      <c r="C411" s="23">
        <v>401670</v>
      </c>
      <c r="D411" s="5">
        <v>2.57</v>
      </c>
    </row>
    <row r="412" spans="1:4">
      <c r="A412" s="17">
        <v>45461</v>
      </c>
      <c r="B412" s="22">
        <v>42.43</v>
      </c>
      <c r="C412" s="23">
        <v>234620</v>
      </c>
      <c r="D412" s="5">
        <v>0</v>
      </c>
    </row>
    <row r="413" spans="1:4">
      <c r="A413" s="17">
        <v>45460</v>
      </c>
      <c r="B413" s="22">
        <v>42.43</v>
      </c>
      <c r="C413" s="23">
        <v>474980</v>
      </c>
      <c r="D413" s="5">
        <v>-2.71</v>
      </c>
    </row>
    <row r="414" spans="1:4">
      <c r="A414" s="17">
        <v>45457</v>
      </c>
      <c r="B414" s="22">
        <v>43.61</v>
      </c>
      <c r="C414" s="23">
        <v>662790</v>
      </c>
      <c r="D414" s="5">
        <v>-0.59</v>
      </c>
    </row>
    <row r="415" spans="1:4">
      <c r="A415" s="17">
        <v>45456</v>
      </c>
      <c r="B415" s="22">
        <v>43.87</v>
      </c>
      <c r="C415" s="23">
        <v>1310000</v>
      </c>
      <c r="D415" s="5">
        <v>-0.39</v>
      </c>
    </row>
    <row r="416" spans="1:4">
      <c r="A416" s="17">
        <v>45455</v>
      </c>
      <c r="B416" s="22">
        <v>44.04</v>
      </c>
      <c r="C416" s="23">
        <v>1380000</v>
      </c>
      <c r="D416" s="5">
        <v>1.54</v>
      </c>
    </row>
    <row r="417" spans="1:4">
      <c r="A417" s="17">
        <v>45454</v>
      </c>
      <c r="B417" s="22">
        <v>43.37</v>
      </c>
      <c r="C417" s="23">
        <v>487570</v>
      </c>
      <c r="D417" s="5">
        <v>-2.2999999999999998</v>
      </c>
    </row>
    <row r="418" spans="1:4">
      <c r="A418" s="17">
        <v>45453</v>
      </c>
      <c r="B418" s="22">
        <v>44.39</v>
      </c>
      <c r="C418" s="23">
        <v>490250</v>
      </c>
      <c r="D418" s="5">
        <v>3.64</v>
      </c>
    </row>
    <row r="419" spans="1:4">
      <c r="A419" s="17">
        <v>45450</v>
      </c>
      <c r="B419" s="22">
        <v>42.83</v>
      </c>
      <c r="C419" s="23">
        <v>709140</v>
      </c>
      <c r="D419" s="5">
        <v>0.97</v>
      </c>
    </row>
    <row r="420" spans="1:4">
      <c r="A420" s="17">
        <v>45449</v>
      </c>
      <c r="B420" s="22">
        <v>42.42</v>
      </c>
      <c r="C420" s="23">
        <v>442360</v>
      </c>
      <c r="D420" s="5">
        <v>-0.45</v>
      </c>
    </row>
    <row r="421" spans="1:4">
      <c r="A421" s="17">
        <v>45448</v>
      </c>
      <c r="B421" s="22">
        <v>42.61</v>
      </c>
      <c r="C421" s="23">
        <v>1140000</v>
      </c>
      <c r="D421" s="5">
        <v>-0.88</v>
      </c>
    </row>
    <row r="422" spans="1:4">
      <c r="A422" s="17">
        <v>45447</v>
      </c>
      <c r="B422" s="22">
        <v>42.99</v>
      </c>
      <c r="C422" s="23">
        <v>1400000</v>
      </c>
      <c r="D422" s="5">
        <v>-7.9</v>
      </c>
    </row>
    <row r="423" spans="1:4">
      <c r="A423" s="17">
        <v>45446</v>
      </c>
      <c r="B423" s="22">
        <v>46.68</v>
      </c>
      <c r="C423" s="23">
        <v>884910</v>
      </c>
      <c r="D423" s="5">
        <v>-3.65</v>
      </c>
    </row>
    <row r="424" spans="1:4">
      <c r="A424" s="17">
        <v>45443</v>
      </c>
      <c r="B424" s="22">
        <v>48.45</v>
      </c>
      <c r="C424" s="23">
        <v>426540</v>
      </c>
      <c r="D424" s="5">
        <v>-0.33</v>
      </c>
    </row>
    <row r="425" spans="1:4">
      <c r="A425" s="17">
        <v>45442</v>
      </c>
      <c r="B425" s="22">
        <v>48.61</v>
      </c>
      <c r="C425" s="23">
        <v>1470000</v>
      </c>
      <c r="D425" s="5">
        <v>4.2</v>
      </c>
    </row>
    <row r="426" spans="1:4">
      <c r="A426" s="17">
        <v>45441</v>
      </c>
      <c r="B426" s="22">
        <v>46.65</v>
      </c>
      <c r="C426" s="23">
        <v>302020</v>
      </c>
      <c r="D426" s="5">
        <v>1.52</v>
      </c>
    </row>
    <row r="427" spans="1:4">
      <c r="A427" s="17">
        <v>45440</v>
      </c>
      <c r="B427" s="22">
        <v>45.95</v>
      </c>
      <c r="C427" s="23">
        <v>603530</v>
      </c>
      <c r="D427" s="5">
        <v>3.68</v>
      </c>
    </row>
    <row r="428" spans="1:4">
      <c r="A428" s="17">
        <v>45436</v>
      </c>
      <c r="B428" s="22">
        <v>44.32</v>
      </c>
      <c r="C428" s="23">
        <v>1040000</v>
      </c>
      <c r="D428" s="5">
        <v>-2.1</v>
      </c>
    </row>
    <row r="429" spans="1:4">
      <c r="A429" s="17">
        <v>45435</v>
      </c>
      <c r="B429" s="22">
        <v>45.27</v>
      </c>
      <c r="C429" s="23">
        <v>617480</v>
      </c>
      <c r="D429" s="5">
        <v>-2.0099999999999998</v>
      </c>
    </row>
    <row r="430" spans="1:4">
      <c r="A430" s="17">
        <v>45434</v>
      </c>
      <c r="B430" s="22">
        <v>46.2</v>
      </c>
      <c r="C430" s="23">
        <v>888180</v>
      </c>
      <c r="D430" s="5">
        <v>-5.73</v>
      </c>
    </row>
    <row r="431" spans="1:4">
      <c r="A431" s="17">
        <v>45433</v>
      </c>
      <c r="B431" s="22">
        <v>49.01</v>
      </c>
      <c r="C431" s="23">
        <v>1150000</v>
      </c>
      <c r="D431" s="5">
        <v>0.89</v>
      </c>
    </row>
    <row r="432" spans="1:4">
      <c r="A432" s="17">
        <v>45432</v>
      </c>
      <c r="B432" s="22">
        <v>48.58</v>
      </c>
      <c r="C432" s="23">
        <v>569620</v>
      </c>
      <c r="D432" s="5">
        <v>2.2999999999999998</v>
      </c>
    </row>
    <row r="433" spans="1:4">
      <c r="A433" s="17">
        <v>45429</v>
      </c>
      <c r="B433" s="22">
        <v>47.49</v>
      </c>
      <c r="C433" s="23">
        <v>332360</v>
      </c>
      <c r="D433" s="5">
        <v>0.04</v>
      </c>
    </row>
    <row r="434" spans="1:4">
      <c r="A434" s="17">
        <v>45428</v>
      </c>
      <c r="B434" s="22">
        <v>47.47</v>
      </c>
      <c r="C434" s="23">
        <v>461530</v>
      </c>
      <c r="D434" s="5">
        <v>-0.28999999999999998</v>
      </c>
    </row>
    <row r="435" spans="1:4">
      <c r="A435" s="17">
        <v>45427</v>
      </c>
      <c r="B435" s="22">
        <v>47.61</v>
      </c>
      <c r="C435" s="23">
        <v>964920</v>
      </c>
      <c r="D435" s="5">
        <v>2.2799999999999998</v>
      </c>
    </row>
    <row r="436" spans="1:4">
      <c r="A436" s="17">
        <v>45426</v>
      </c>
      <c r="B436" s="22">
        <v>46.55</v>
      </c>
      <c r="C436" s="23">
        <v>674130</v>
      </c>
      <c r="D436" s="5">
        <v>3.44</v>
      </c>
    </row>
    <row r="437" spans="1:4">
      <c r="A437" s="17">
        <v>45425</v>
      </c>
      <c r="B437" s="22">
        <v>45</v>
      </c>
      <c r="C437" s="23">
        <v>447160</v>
      </c>
      <c r="D437" s="5">
        <v>-0.77</v>
      </c>
    </row>
    <row r="438" spans="1:4">
      <c r="A438" s="17">
        <v>45422</v>
      </c>
      <c r="B438" s="22">
        <v>45.35</v>
      </c>
      <c r="C438" s="23">
        <v>311940</v>
      </c>
      <c r="D438" s="5">
        <v>-1.92</v>
      </c>
    </row>
    <row r="439" spans="1:4">
      <c r="A439" s="17">
        <v>45421</v>
      </c>
      <c r="B439" s="22">
        <v>46.24</v>
      </c>
      <c r="C439" s="23">
        <v>373530</v>
      </c>
      <c r="D439" s="5">
        <v>0.26</v>
      </c>
    </row>
    <row r="440" spans="1:4">
      <c r="A440" s="17">
        <v>45420</v>
      </c>
      <c r="B440" s="22">
        <v>46.12</v>
      </c>
      <c r="C440" s="23">
        <v>464220</v>
      </c>
      <c r="D440" s="5">
        <v>-0.88</v>
      </c>
    </row>
    <row r="441" spans="1:4">
      <c r="A441" s="17">
        <v>45419</v>
      </c>
      <c r="B441" s="22">
        <v>46.53</v>
      </c>
      <c r="C441" s="23">
        <v>538300</v>
      </c>
      <c r="D441" s="5">
        <v>1.86</v>
      </c>
    </row>
    <row r="442" spans="1:4">
      <c r="A442" s="17">
        <v>45418</v>
      </c>
      <c r="B442" s="22">
        <v>45.68</v>
      </c>
      <c r="C442" s="23">
        <v>646380</v>
      </c>
      <c r="D442" s="5">
        <v>5.74</v>
      </c>
    </row>
    <row r="443" spans="1:4">
      <c r="A443" s="17">
        <v>45415</v>
      </c>
      <c r="B443" s="22">
        <v>43.2</v>
      </c>
      <c r="C443" s="23">
        <v>266530</v>
      </c>
      <c r="D443" s="5">
        <v>1.72</v>
      </c>
    </row>
    <row r="444" spans="1:4">
      <c r="A444" s="17">
        <v>45414</v>
      </c>
      <c r="B444" s="22">
        <v>42.47</v>
      </c>
      <c r="C444" s="23">
        <v>418850</v>
      </c>
      <c r="D444" s="5">
        <v>-0.79</v>
      </c>
    </row>
    <row r="445" spans="1:4">
      <c r="A445" s="17">
        <v>45413</v>
      </c>
      <c r="B445" s="22">
        <v>42.81</v>
      </c>
      <c r="C445" s="23">
        <v>349050</v>
      </c>
      <c r="D445" s="5">
        <v>-0.79</v>
      </c>
    </row>
    <row r="446" spans="1:4">
      <c r="A446" s="17">
        <v>45412</v>
      </c>
      <c r="B446" s="22">
        <v>43.15</v>
      </c>
      <c r="C446" s="23">
        <v>804480</v>
      </c>
      <c r="D446" s="5">
        <v>-0.94</v>
      </c>
    </row>
    <row r="447" spans="1:4">
      <c r="A447" s="17">
        <v>45411</v>
      </c>
      <c r="B447" s="22">
        <v>43.56</v>
      </c>
      <c r="C447" s="23">
        <v>395320</v>
      </c>
      <c r="D447" s="5">
        <v>1.21</v>
      </c>
    </row>
    <row r="448" spans="1:4">
      <c r="A448" s="17">
        <v>45408</v>
      </c>
      <c r="B448" s="22">
        <v>43.04</v>
      </c>
      <c r="C448" s="23">
        <v>630740</v>
      </c>
      <c r="D448" s="5">
        <v>0.73</v>
      </c>
    </row>
    <row r="449" spans="1:4">
      <c r="A449" s="17">
        <v>45407</v>
      </c>
      <c r="B449" s="22">
        <v>42.73</v>
      </c>
      <c r="C449" s="23">
        <v>933560</v>
      </c>
      <c r="D449" s="5">
        <v>-1.52</v>
      </c>
    </row>
    <row r="450" spans="1:4">
      <c r="A450" s="17">
        <v>45406</v>
      </c>
      <c r="B450" s="22">
        <v>43.39</v>
      </c>
      <c r="C450" s="23">
        <v>552920</v>
      </c>
      <c r="D450" s="5">
        <v>-1.77</v>
      </c>
    </row>
    <row r="451" spans="1:4">
      <c r="A451" s="17">
        <v>45405</v>
      </c>
      <c r="B451" s="22">
        <v>44.17</v>
      </c>
      <c r="C451" s="23">
        <v>428060</v>
      </c>
      <c r="D451" s="5">
        <v>1.4</v>
      </c>
    </row>
    <row r="452" spans="1:4">
      <c r="A452" s="17">
        <v>45404</v>
      </c>
      <c r="B452" s="22">
        <v>43.56</v>
      </c>
      <c r="C452" s="23">
        <v>637200</v>
      </c>
      <c r="D452" s="5">
        <v>3.89</v>
      </c>
    </row>
    <row r="453" spans="1:4">
      <c r="A453" s="17">
        <v>45401</v>
      </c>
      <c r="B453" s="22">
        <v>41.93</v>
      </c>
      <c r="C453" s="23">
        <v>307540</v>
      </c>
      <c r="D453" s="5">
        <v>1.5</v>
      </c>
    </row>
    <row r="454" spans="1:4">
      <c r="A454" s="17">
        <v>45400</v>
      </c>
      <c r="B454" s="22">
        <v>41.31</v>
      </c>
      <c r="C454" s="23">
        <v>405120</v>
      </c>
      <c r="D454" s="5">
        <v>0</v>
      </c>
    </row>
    <row r="455" spans="1:4">
      <c r="A455" s="17">
        <v>45399</v>
      </c>
      <c r="B455" s="22">
        <v>41.31</v>
      </c>
      <c r="C455" s="23">
        <v>348750</v>
      </c>
      <c r="D455" s="5">
        <v>-2.06</v>
      </c>
    </row>
    <row r="456" spans="1:4">
      <c r="A456" s="17">
        <v>45398</v>
      </c>
      <c r="B456" s="22">
        <v>42.18</v>
      </c>
      <c r="C456" s="23">
        <v>487670</v>
      </c>
      <c r="D456" s="5">
        <v>1.22</v>
      </c>
    </row>
    <row r="457" spans="1:4">
      <c r="A457" s="17">
        <v>45397</v>
      </c>
      <c r="B457" s="22">
        <v>41.67</v>
      </c>
      <c r="C457" s="23">
        <v>599640</v>
      </c>
      <c r="D457" s="5">
        <v>-3.63</v>
      </c>
    </row>
    <row r="458" spans="1:4">
      <c r="A458" s="17">
        <v>45394</v>
      </c>
      <c r="B458" s="22">
        <v>43.24</v>
      </c>
      <c r="C458" s="23">
        <v>472480</v>
      </c>
      <c r="D458" s="5">
        <v>-0.23</v>
      </c>
    </row>
    <row r="459" spans="1:4">
      <c r="A459" s="17">
        <v>45393</v>
      </c>
      <c r="B459" s="22">
        <v>43.34</v>
      </c>
      <c r="C459" s="23">
        <v>539170</v>
      </c>
      <c r="D459" s="5">
        <v>-0.09</v>
      </c>
    </row>
    <row r="460" spans="1:4">
      <c r="A460" s="17">
        <v>45392</v>
      </c>
      <c r="B460" s="22">
        <v>43.38</v>
      </c>
      <c r="C460" s="23">
        <v>448990</v>
      </c>
      <c r="D460" s="5">
        <v>0.65</v>
      </c>
    </row>
    <row r="461" spans="1:4">
      <c r="A461" s="17">
        <v>45391</v>
      </c>
      <c r="B461" s="22">
        <v>43.1</v>
      </c>
      <c r="C461" s="23">
        <v>399290</v>
      </c>
      <c r="D461" s="5">
        <v>-1.6</v>
      </c>
    </row>
    <row r="462" spans="1:4">
      <c r="A462" s="17">
        <v>45390</v>
      </c>
      <c r="B462" s="22">
        <v>43.8</v>
      </c>
      <c r="C462" s="23">
        <v>1080000</v>
      </c>
      <c r="D462" s="5">
        <v>3.16</v>
      </c>
    </row>
    <row r="463" spans="1:4">
      <c r="A463" s="17">
        <v>45387</v>
      </c>
      <c r="B463" s="22">
        <v>42.46</v>
      </c>
      <c r="C463" s="23">
        <v>628520</v>
      </c>
      <c r="D463" s="5">
        <v>2.81</v>
      </c>
    </row>
    <row r="464" spans="1:4">
      <c r="A464" s="17">
        <v>45386</v>
      </c>
      <c r="B464" s="22">
        <v>41.3</v>
      </c>
      <c r="C464" s="23">
        <v>1400000</v>
      </c>
      <c r="D464" s="5">
        <v>-1.48</v>
      </c>
    </row>
    <row r="465" spans="1:4">
      <c r="A465" s="17">
        <v>45385</v>
      </c>
      <c r="B465" s="22">
        <v>41.92</v>
      </c>
      <c r="C465" s="23">
        <v>443700</v>
      </c>
      <c r="D465" s="5">
        <v>1.0900000000000001</v>
      </c>
    </row>
    <row r="466" spans="1:4">
      <c r="A466" s="17">
        <v>45384</v>
      </c>
      <c r="B466" s="22">
        <v>41.47</v>
      </c>
      <c r="C466" s="23">
        <v>305510</v>
      </c>
      <c r="D466" s="5">
        <v>0.39</v>
      </c>
    </row>
    <row r="467" spans="1:4">
      <c r="A467" s="17">
        <v>45383</v>
      </c>
      <c r="B467" s="22">
        <v>41.31</v>
      </c>
      <c r="C467" s="23">
        <v>196420</v>
      </c>
      <c r="D467" s="5">
        <v>-0.17</v>
      </c>
    </row>
    <row r="468" spans="1:4">
      <c r="A468" s="17">
        <v>45379</v>
      </c>
      <c r="B468" s="22">
        <v>41.38</v>
      </c>
      <c r="C468" s="23">
        <v>287690</v>
      </c>
      <c r="D468" s="5">
        <v>-2.04</v>
      </c>
    </row>
    <row r="469" spans="1:4">
      <c r="A469" s="17">
        <v>45378</v>
      </c>
      <c r="B469" s="22">
        <v>42.24</v>
      </c>
      <c r="C469" s="23">
        <v>427400</v>
      </c>
      <c r="D469" s="5">
        <v>0.64</v>
      </c>
    </row>
    <row r="470" spans="1:4">
      <c r="A470" s="17">
        <v>45377</v>
      </c>
      <c r="B470" s="22">
        <v>41.97</v>
      </c>
      <c r="C470" s="23">
        <v>357050</v>
      </c>
      <c r="D470" s="5">
        <v>-1.36</v>
      </c>
    </row>
    <row r="471" spans="1:4">
      <c r="A471" s="17">
        <v>45376</v>
      </c>
      <c r="B471" s="22">
        <v>42.55</v>
      </c>
      <c r="C471" s="23">
        <v>440500</v>
      </c>
      <c r="D471" s="5">
        <v>-2.09</v>
      </c>
    </row>
    <row r="472" spans="1:4">
      <c r="A472" s="17">
        <v>45373</v>
      </c>
      <c r="B472" s="22">
        <v>43.46</v>
      </c>
      <c r="C472" s="23">
        <v>434820</v>
      </c>
      <c r="D472" s="5">
        <v>0.44</v>
      </c>
    </row>
    <row r="473" spans="1:4">
      <c r="A473" s="17">
        <v>45372</v>
      </c>
      <c r="B473" s="22">
        <v>43.27</v>
      </c>
      <c r="C473" s="23">
        <v>572780</v>
      </c>
      <c r="D473" s="5">
        <v>0.65</v>
      </c>
    </row>
    <row r="474" spans="1:4">
      <c r="A474" s="17">
        <v>45371</v>
      </c>
      <c r="B474" s="22">
        <v>42.99</v>
      </c>
      <c r="C474" s="23">
        <v>620680</v>
      </c>
      <c r="D474" s="5">
        <v>1.03</v>
      </c>
    </row>
    <row r="475" spans="1:4">
      <c r="A475" s="17">
        <v>45370</v>
      </c>
      <c r="B475" s="22">
        <v>42.55</v>
      </c>
      <c r="C475" s="23">
        <v>812100</v>
      </c>
      <c r="D475" s="5">
        <v>1.65</v>
      </c>
    </row>
    <row r="476" spans="1:4">
      <c r="A476" s="17">
        <v>45369</v>
      </c>
      <c r="B476" s="22">
        <v>41.86</v>
      </c>
      <c r="C476" s="23">
        <v>1180000</v>
      </c>
      <c r="D476" s="5">
        <v>2.72</v>
      </c>
    </row>
    <row r="477" spans="1:4">
      <c r="A477" s="17">
        <v>45366</v>
      </c>
      <c r="B477" s="22">
        <v>40.75</v>
      </c>
      <c r="C477" s="23">
        <v>638130</v>
      </c>
      <c r="D477" s="5">
        <v>3.61</v>
      </c>
    </row>
    <row r="478" spans="1:4">
      <c r="A478" s="17">
        <v>45365</v>
      </c>
      <c r="B478" s="22">
        <v>39.33</v>
      </c>
      <c r="C478" s="23">
        <v>801220</v>
      </c>
      <c r="D478" s="5">
        <v>-1.06</v>
      </c>
    </row>
    <row r="479" spans="1:4">
      <c r="A479" s="17">
        <v>45364</v>
      </c>
      <c r="B479" s="22">
        <v>39.75</v>
      </c>
      <c r="C479" s="23">
        <v>681450</v>
      </c>
      <c r="D479" s="5">
        <v>3.03</v>
      </c>
    </row>
    <row r="480" spans="1:4">
      <c r="A480" s="17">
        <v>45363</v>
      </c>
      <c r="B480" s="22">
        <v>38.58</v>
      </c>
      <c r="C480" s="23">
        <v>795340</v>
      </c>
      <c r="D480" s="5">
        <v>5.12</v>
      </c>
    </row>
    <row r="481" spans="1:4">
      <c r="A481" s="17">
        <v>45362</v>
      </c>
      <c r="B481" s="22">
        <v>36.700000000000003</v>
      </c>
      <c r="C481" s="23">
        <v>563370</v>
      </c>
      <c r="D481" s="5">
        <v>0.3</v>
      </c>
    </row>
    <row r="482" spans="1:4">
      <c r="A482" s="17">
        <v>45359</v>
      </c>
      <c r="B482" s="22">
        <v>36.590000000000003</v>
      </c>
      <c r="C482" s="23">
        <v>264060</v>
      </c>
      <c r="D482" s="5">
        <v>0.25</v>
      </c>
    </row>
    <row r="483" spans="1:4">
      <c r="A483" s="17">
        <v>45358</v>
      </c>
      <c r="B483" s="22">
        <v>36.5</v>
      </c>
      <c r="C483" s="23">
        <v>559960</v>
      </c>
      <c r="D483" s="5">
        <v>-3.08</v>
      </c>
    </row>
    <row r="484" spans="1:4">
      <c r="A484" s="17">
        <v>45357</v>
      </c>
      <c r="B484" s="22">
        <v>37.659999999999997</v>
      </c>
      <c r="C484" s="23">
        <v>605130</v>
      </c>
      <c r="D484" s="5">
        <v>2.95</v>
      </c>
    </row>
    <row r="485" spans="1:4">
      <c r="A485" s="17">
        <v>45356</v>
      </c>
      <c r="B485" s="22">
        <v>36.58</v>
      </c>
      <c r="C485" s="23">
        <v>409730</v>
      </c>
      <c r="D485" s="5">
        <v>-0.05</v>
      </c>
    </row>
    <row r="486" spans="1:4">
      <c r="A486" s="17">
        <v>45355</v>
      </c>
      <c r="B486" s="22">
        <v>36.6</v>
      </c>
      <c r="C486" s="23">
        <v>444870</v>
      </c>
      <c r="D486" s="5">
        <v>-2.48</v>
      </c>
    </row>
    <row r="487" spans="1:4">
      <c r="A487" s="17">
        <v>45352</v>
      </c>
      <c r="B487" s="22">
        <v>37.53</v>
      </c>
      <c r="C487" s="23">
        <v>522900</v>
      </c>
      <c r="D487" s="5">
        <v>1.98</v>
      </c>
    </row>
    <row r="488" spans="1:4">
      <c r="A488" s="17">
        <v>45351</v>
      </c>
      <c r="B488" s="22">
        <v>36.799999999999997</v>
      </c>
      <c r="C488" s="23">
        <v>425050</v>
      </c>
      <c r="D488" s="5">
        <v>2.0499999999999998</v>
      </c>
    </row>
    <row r="489" spans="1:4">
      <c r="A489" s="17">
        <v>45350</v>
      </c>
      <c r="B489" s="22">
        <v>36.06</v>
      </c>
      <c r="C489" s="23">
        <v>671140</v>
      </c>
      <c r="D489" s="5">
        <v>1.26</v>
      </c>
    </row>
    <row r="490" spans="1:4">
      <c r="A490" s="17">
        <v>45349</v>
      </c>
      <c r="B490" s="22">
        <v>35.61</v>
      </c>
      <c r="C490" s="23">
        <v>393910</v>
      </c>
      <c r="D490" s="5">
        <v>-0.72</v>
      </c>
    </row>
    <row r="491" spans="1:4">
      <c r="A491" s="17">
        <v>45348</v>
      </c>
      <c r="B491" s="22">
        <v>35.869999999999997</v>
      </c>
      <c r="C491" s="23">
        <v>320440</v>
      </c>
      <c r="D491" s="5">
        <v>0.5</v>
      </c>
    </row>
    <row r="492" spans="1:4">
      <c r="A492" s="17">
        <v>45345</v>
      </c>
      <c r="B492" s="22">
        <v>35.69</v>
      </c>
      <c r="C492" s="23">
        <v>421720</v>
      </c>
      <c r="D492" s="5">
        <v>-1.22</v>
      </c>
    </row>
    <row r="493" spans="1:4">
      <c r="A493" s="17">
        <v>45344</v>
      </c>
      <c r="B493" s="22">
        <v>36.130000000000003</v>
      </c>
      <c r="C493" s="23">
        <v>845320</v>
      </c>
      <c r="D493" s="5">
        <v>0.28000000000000003</v>
      </c>
    </row>
    <row r="494" spans="1:4">
      <c r="A494" s="17">
        <v>45343</v>
      </c>
      <c r="B494" s="22">
        <v>36.03</v>
      </c>
      <c r="C494" s="23">
        <v>816730</v>
      </c>
      <c r="D494" s="5">
        <v>3.39</v>
      </c>
    </row>
    <row r="495" spans="1:4">
      <c r="A495" s="17">
        <v>45342</v>
      </c>
      <c r="B495" s="22">
        <v>34.85</v>
      </c>
      <c r="C495" s="23">
        <v>1030000</v>
      </c>
      <c r="D495" s="5">
        <v>3.69</v>
      </c>
    </row>
    <row r="496" spans="1:4">
      <c r="A496" s="17">
        <v>45338</v>
      </c>
      <c r="B496" s="22">
        <v>33.61</v>
      </c>
      <c r="C496" s="23">
        <v>700340</v>
      </c>
      <c r="D496" s="5">
        <v>1.94</v>
      </c>
    </row>
    <row r="497" spans="1:4">
      <c r="A497" s="17">
        <v>45337</v>
      </c>
      <c r="B497" s="22">
        <v>32.97</v>
      </c>
      <c r="C497" s="23">
        <v>442820</v>
      </c>
      <c r="D497" s="5">
        <v>3.35</v>
      </c>
    </row>
    <row r="498" spans="1:4">
      <c r="A498" s="17">
        <v>45336</v>
      </c>
      <c r="B498" s="22">
        <v>31.9</v>
      </c>
      <c r="C498" s="23">
        <v>469900</v>
      </c>
      <c r="D498" s="5">
        <v>3.57</v>
      </c>
    </row>
    <row r="499" spans="1:4">
      <c r="A499" s="17">
        <v>45335</v>
      </c>
      <c r="B499" s="22">
        <v>30.8</v>
      </c>
      <c r="C499" s="23">
        <v>177500</v>
      </c>
      <c r="D499" s="5">
        <v>0</v>
      </c>
    </row>
    <row r="500" spans="1:4">
      <c r="A500" s="17">
        <v>45334</v>
      </c>
      <c r="B500" s="22">
        <v>30.8</v>
      </c>
      <c r="C500" s="23">
        <v>222850</v>
      </c>
      <c r="D500" s="5">
        <v>-0.42</v>
      </c>
    </row>
    <row r="501" spans="1:4">
      <c r="A501" s="17">
        <v>45331</v>
      </c>
      <c r="B501" s="22">
        <v>30.93</v>
      </c>
      <c r="C501" s="23">
        <v>536500</v>
      </c>
      <c r="D501" s="5">
        <v>-1.59</v>
      </c>
    </row>
    <row r="502" spans="1:4">
      <c r="A502" s="17">
        <v>45330</v>
      </c>
      <c r="B502" s="22">
        <v>31.43</v>
      </c>
      <c r="C502" s="23">
        <v>416470</v>
      </c>
      <c r="D502" s="5">
        <v>-2.5099999999999998</v>
      </c>
    </row>
    <row r="503" spans="1:4">
      <c r="A503" s="17">
        <v>45329</v>
      </c>
      <c r="B503" s="22">
        <v>32.24</v>
      </c>
      <c r="C503" s="23">
        <v>247710</v>
      </c>
      <c r="D503" s="5">
        <v>0.91</v>
      </c>
    </row>
    <row r="504" spans="1:4">
      <c r="A504" s="17">
        <v>45328</v>
      </c>
      <c r="B504" s="22">
        <v>31.95</v>
      </c>
      <c r="C504" s="23">
        <v>555430</v>
      </c>
      <c r="D504" s="5">
        <v>1.65</v>
      </c>
    </row>
    <row r="505" spans="1:4">
      <c r="A505" s="17">
        <v>45327</v>
      </c>
      <c r="B505" s="22">
        <v>31.43</v>
      </c>
      <c r="C505" s="23">
        <v>303920</v>
      </c>
      <c r="D505" s="5">
        <v>-2.4500000000000002</v>
      </c>
    </row>
    <row r="506" spans="1:4">
      <c r="A506" s="17">
        <v>45324</v>
      </c>
      <c r="B506" s="22">
        <v>32.22</v>
      </c>
      <c r="C506" s="23">
        <v>218240</v>
      </c>
      <c r="D506" s="5">
        <v>-2.04</v>
      </c>
    </row>
    <row r="507" spans="1:4">
      <c r="A507" s="17">
        <v>45323</v>
      </c>
      <c r="B507" s="22">
        <v>32.89</v>
      </c>
      <c r="C507" s="23">
        <v>241780</v>
      </c>
      <c r="D507" s="5">
        <v>0.4</v>
      </c>
    </row>
    <row r="508" spans="1:4">
      <c r="A508" s="17">
        <v>45322</v>
      </c>
      <c r="B508" s="22">
        <v>32.76</v>
      </c>
      <c r="C508" s="23">
        <v>304940</v>
      </c>
      <c r="D508" s="5">
        <v>-0.55000000000000004</v>
      </c>
    </row>
    <row r="509" spans="1:4">
      <c r="A509" s="17">
        <v>45321</v>
      </c>
      <c r="B509" s="22">
        <v>32.94</v>
      </c>
      <c r="C509" s="23">
        <v>304260</v>
      </c>
      <c r="D509" s="5">
        <v>-0.33</v>
      </c>
    </row>
    <row r="510" spans="1:4">
      <c r="A510" s="17">
        <v>45320</v>
      </c>
      <c r="B510" s="22">
        <v>33.049999999999997</v>
      </c>
      <c r="C510" s="23">
        <v>380550</v>
      </c>
      <c r="D510" s="5">
        <v>-0.39</v>
      </c>
    </row>
    <row r="511" spans="1:4">
      <c r="A511" s="17">
        <v>45317</v>
      </c>
      <c r="B511" s="22">
        <v>33.18</v>
      </c>
      <c r="C511" s="23">
        <v>269610</v>
      </c>
      <c r="D511" s="5">
        <v>0.82</v>
      </c>
    </row>
    <row r="512" spans="1:4">
      <c r="A512" s="17">
        <v>45316</v>
      </c>
      <c r="B512" s="22">
        <v>32.909999999999997</v>
      </c>
      <c r="C512" s="23">
        <v>296860</v>
      </c>
      <c r="D512" s="5">
        <v>2.2999999999999998</v>
      </c>
    </row>
    <row r="513" spans="1:4">
      <c r="A513" s="17">
        <v>45315</v>
      </c>
      <c r="B513" s="22">
        <v>32.17</v>
      </c>
      <c r="C513" s="23">
        <v>652510</v>
      </c>
      <c r="D513" s="5">
        <v>1.32</v>
      </c>
    </row>
    <row r="514" spans="1:4">
      <c r="A514" s="17">
        <v>45314</v>
      </c>
      <c r="B514" s="22">
        <v>31.75</v>
      </c>
      <c r="C514" s="23">
        <v>442130</v>
      </c>
      <c r="D514" s="5">
        <v>0.51</v>
      </c>
    </row>
    <row r="515" spans="1:4">
      <c r="A515" s="17">
        <v>45313</v>
      </c>
      <c r="B515" s="22">
        <v>31.59</v>
      </c>
      <c r="C515" s="23">
        <v>455990</v>
      </c>
      <c r="D515" s="5">
        <v>0.1</v>
      </c>
    </row>
    <row r="516" spans="1:4">
      <c r="A516" s="17">
        <v>45310</v>
      </c>
      <c r="B516" s="22">
        <v>31.56</v>
      </c>
      <c r="C516" s="23">
        <v>303780</v>
      </c>
      <c r="D516" s="5">
        <v>1.61</v>
      </c>
    </row>
    <row r="517" spans="1:4">
      <c r="A517" s="17">
        <v>45309</v>
      </c>
      <c r="B517" s="22">
        <v>31.06</v>
      </c>
      <c r="C517" s="23">
        <v>203100</v>
      </c>
      <c r="D517" s="5">
        <v>-0.03</v>
      </c>
    </row>
    <row r="518" spans="1:4">
      <c r="A518" s="17">
        <v>45308</v>
      </c>
      <c r="B518" s="22">
        <v>31.07</v>
      </c>
      <c r="C518" s="23">
        <v>414260</v>
      </c>
      <c r="D518" s="5">
        <v>1.74</v>
      </c>
    </row>
    <row r="519" spans="1:4">
      <c r="A519" s="17">
        <v>45307</v>
      </c>
      <c r="B519" s="22">
        <v>30.54</v>
      </c>
      <c r="C519" s="23">
        <v>669440</v>
      </c>
      <c r="D519" s="5">
        <v>-1.17</v>
      </c>
    </row>
    <row r="520" spans="1:4">
      <c r="A520" s="17">
        <v>45303</v>
      </c>
      <c r="B520" s="22">
        <v>30.9</v>
      </c>
      <c r="C520" s="23">
        <v>435950</v>
      </c>
      <c r="D520" s="5">
        <v>4.1500000000000004</v>
      </c>
    </row>
    <row r="521" spans="1:4">
      <c r="A521" s="17">
        <v>45302</v>
      </c>
      <c r="B521" s="22">
        <v>29.67</v>
      </c>
      <c r="C521" s="23">
        <v>342060</v>
      </c>
      <c r="D521" s="5">
        <v>1.23</v>
      </c>
    </row>
    <row r="522" spans="1:4">
      <c r="A522" s="17">
        <v>45301</v>
      </c>
      <c r="B522" s="22">
        <v>29.31</v>
      </c>
      <c r="C522" s="23">
        <v>376170</v>
      </c>
      <c r="D522" s="5">
        <v>-0.57999999999999996</v>
      </c>
    </row>
    <row r="523" spans="1:4">
      <c r="A523" s="17">
        <v>45300</v>
      </c>
      <c r="B523" s="22">
        <v>29.48</v>
      </c>
      <c r="C523" s="23">
        <v>519580.00000000012</v>
      </c>
      <c r="D523" s="5">
        <v>-3.12</v>
      </c>
    </row>
    <row r="524" spans="1:4">
      <c r="A524" s="17">
        <v>45299</v>
      </c>
      <c r="B524" s="22">
        <v>30.43</v>
      </c>
      <c r="C524" s="23">
        <v>490580</v>
      </c>
      <c r="D524" s="5">
        <v>2.15</v>
      </c>
    </row>
    <row r="525" spans="1:4">
      <c r="A525" s="17">
        <v>45296</v>
      </c>
      <c r="B525" s="22">
        <v>29.79</v>
      </c>
      <c r="C525" s="23">
        <v>658490</v>
      </c>
      <c r="D525" s="5">
        <v>1.05</v>
      </c>
    </row>
    <row r="526" spans="1:4">
      <c r="A526" s="17">
        <v>45295</v>
      </c>
      <c r="B526" s="22">
        <v>29.48</v>
      </c>
      <c r="C526" s="23">
        <v>278120</v>
      </c>
      <c r="D526" s="5">
        <v>-2.12</v>
      </c>
    </row>
    <row r="527" spans="1:4">
      <c r="A527" s="17">
        <v>45294</v>
      </c>
      <c r="B527" s="22">
        <v>30.12</v>
      </c>
      <c r="C527" s="23">
        <v>654300</v>
      </c>
      <c r="D527" s="5">
        <v>5.65</v>
      </c>
    </row>
    <row r="528" spans="1:4">
      <c r="A528" s="17">
        <v>45293</v>
      </c>
      <c r="B528" s="22">
        <v>28.51</v>
      </c>
      <c r="C528" s="23">
        <v>331380</v>
      </c>
      <c r="D528" s="5">
        <v>-3.39</v>
      </c>
    </row>
    <row r="529" spans="1:4">
      <c r="A529" s="17">
        <v>45289</v>
      </c>
      <c r="B529" s="22">
        <v>29.51</v>
      </c>
      <c r="C529" s="23">
        <v>283670</v>
      </c>
      <c r="D529" s="5">
        <v>1.06</v>
      </c>
    </row>
    <row r="530" spans="1:4">
      <c r="A530" s="17">
        <v>45288</v>
      </c>
      <c r="B530" s="22">
        <v>29.2</v>
      </c>
      <c r="C530" s="23">
        <v>252980</v>
      </c>
      <c r="D530" s="5">
        <v>-2.2400000000000002</v>
      </c>
    </row>
    <row r="531" spans="1:4">
      <c r="A531" s="17">
        <v>45287</v>
      </c>
      <c r="B531" s="22">
        <v>29.87</v>
      </c>
      <c r="C531" s="23">
        <v>406930</v>
      </c>
      <c r="D531" s="5">
        <v>-0.1</v>
      </c>
    </row>
    <row r="532" spans="1:4">
      <c r="A532" s="17">
        <v>45286</v>
      </c>
      <c r="B532" s="22">
        <v>29.9</v>
      </c>
      <c r="C532" s="23">
        <v>344930</v>
      </c>
      <c r="D532" s="5">
        <v>0.2</v>
      </c>
    </row>
    <row r="533" spans="1:4">
      <c r="A533" s="17">
        <v>45282</v>
      </c>
      <c r="B533" s="22">
        <v>29.84</v>
      </c>
      <c r="C533" s="23">
        <v>406830</v>
      </c>
      <c r="D533" s="5">
        <v>-0.8</v>
      </c>
    </row>
    <row r="534" spans="1:4">
      <c r="A534" s="17">
        <v>45281</v>
      </c>
      <c r="B534" s="22">
        <v>30.08</v>
      </c>
      <c r="C534" s="23">
        <v>678520</v>
      </c>
      <c r="D534" s="5">
        <v>-3.37</v>
      </c>
    </row>
    <row r="535" spans="1:4">
      <c r="A535" s="17">
        <v>45280</v>
      </c>
      <c r="B535" s="22">
        <v>31.13</v>
      </c>
      <c r="C535" s="23">
        <v>702520</v>
      </c>
      <c r="D535" s="5">
        <v>0.52</v>
      </c>
    </row>
    <row r="536" spans="1:4">
      <c r="A536" s="17">
        <v>45279</v>
      </c>
      <c r="B536" s="22">
        <v>30.97</v>
      </c>
      <c r="C536" s="23">
        <v>625790</v>
      </c>
      <c r="D536" s="5">
        <v>1.74</v>
      </c>
    </row>
    <row r="537" spans="1:4">
      <c r="A537" s="17">
        <v>45278</v>
      </c>
      <c r="B537" s="22">
        <v>30.44</v>
      </c>
      <c r="C537" s="23">
        <v>844700</v>
      </c>
      <c r="D537" s="5">
        <v>6.4</v>
      </c>
    </row>
    <row r="538" spans="1:4">
      <c r="A538" s="17">
        <v>45275</v>
      </c>
      <c r="B538" s="22">
        <v>28.61</v>
      </c>
      <c r="C538" s="23">
        <v>562710</v>
      </c>
      <c r="D538" s="5">
        <v>-2.09</v>
      </c>
    </row>
    <row r="539" spans="1:4">
      <c r="A539" s="17">
        <v>45274</v>
      </c>
      <c r="B539" s="22">
        <v>29.22</v>
      </c>
      <c r="C539" s="23">
        <v>770870</v>
      </c>
      <c r="D539" s="5">
        <v>7.0000000000000007E-2</v>
      </c>
    </row>
    <row r="540" spans="1:4">
      <c r="A540" s="17">
        <v>45273</v>
      </c>
      <c r="B540" s="22">
        <v>29.2</v>
      </c>
      <c r="C540" s="23">
        <v>767830</v>
      </c>
      <c r="D540" s="5">
        <v>-2.57</v>
      </c>
    </row>
    <row r="541" spans="1:4">
      <c r="A541" s="17">
        <v>45272</v>
      </c>
      <c r="B541" s="22">
        <v>29.97</v>
      </c>
      <c r="C541" s="23">
        <v>614500</v>
      </c>
      <c r="D541" s="5">
        <v>-0.6</v>
      </c>
    </row>
    <row r="542" spans="1:4">
      <c r="A542" s="17">
        <v>45271</v>
      </c>
      <c r="B542" s="22">
        <v>30.15</v>
      </c>
      <c r="C542" s="23">
        <v>673840</v>
      </c>
      <c r="D542" s="5">
        <v>-0.79</v>
      </c>
    </row>
    <row r="543" spans="1:4">
      <c r="A543" s="17">
        <v>45268</v>
      </c>
      <c r="B543" s="22">
        <v>30.39</v>
      </c>
      <c r="C543" s="23">
        <v>727530</v>
      </c>
      <c r="D543" s="5">
        <v>1.67</v>
      </c>
    </row>
    <row r="544" spans="1:4">
      <c r="A544" s="17">
        <v>45267</v>
      </c>
      <c r="B544" s="22">
        <v>29.89</v>
      </c>
      <c r="C544" s="23">
        <v>557140</v>
      </c>
      <c r="D544" s="5">
        <v>-0.7</v>
      </c>
    </row>
    <row r="545" spans="1:4">
      <c r="A545" s="17">
        <v>45266</v>
      </c>
      <c r="B545" s="22">
        <v>30.1</v>
      </c>
      <c r="C545" s="23">
        <v>509670</v>
      </c>
      <c r="D545" s="5">
        <v>-4.05</v>
      </c>
    </row>
    <row r="546" spans="1:4">
      <c r="A546" s="17">
        <v>45265</v>
      </c>
      <c r="B546" s="22">
        <v>31.37</v>
      </c>
      <c r="C546" s="23">
        <v>625730</v>
      </c>
      <c r="D546" s="5">
        <v>4.32</v>
      </c>
    </row>
    <row r="547" spans="1:4">
      <c r="A547" s="17">
        <v>45264</v>
      </c>
      <c r="B547" s="22">
        <v>30.07</v>
      </c>
      <c r="C547" s="23">
        <v>693830</v>
      </c>
      <c r="D547" s="5">
        <v>-3.28</v>
      </c>
    </row>
    <row r="548" spans="1:4">
      <c r="A548" s="17">
        <v>45261</v>
      </c>
      <c r="B548" s="22">
        <v>31.09</v>
      </c>
      <c r="C548" s="23">
        <v>600670</v>
      </c>
      <c r="D548" s="5">
        <v>0.84</v>
      </c>
    </row>
    <row r="549" spans="1:4">
      <c r="A549" s="17">
        <v>45260</v>
      </c>
      <c r="B549" s="22">
        <v>30.83</v>
      </c>
      <c r="C549" s="23">
        <v>557330</v>
      </c>
      <c r="D549" s="5">
        <v>1.35</v>
      </c>
    </row>
    <row r="550" spans="1:4">
      <c r="A550" s="17">
        <v>45259</v>
      </c>
      <c r="B550" s="22">
        <v>30.42</v>
      </c>
      <c r="C550" s="23">
        <v>531960</v>
      </c>
      <c r="D550" s="5">
        <v>-1.52</v>
      </c>
    </row>
    <row r="551" spans="1:4">
      <c r="A551" s="17">
        <v>45258</v>
      </c>
      <c r="B551" s="22">
        <v>30.89</v>
      </c>
      <c r="C551" s="23">
        <v>1100000</v>
      </c>
      <c r="D551" s="5">
        <v>-3.83</v>
      </c>
    </row>
    <row r="552" spans="1:4">
      <c r="A552" s="17">
        <v>45257</v>
      </c>
      <c r="B552" s="22">
        <v>32.119999999999997</v>
      </c>
      <c r="C552" s="23">
        <v>904400</v>
      </c>
      <c r="D552" s="5">
        <v>0.72</v>
      </c>
    </row>
    <row r="553" spans="1:4">
      <c r="A553" s="17">
        <v>45254</v>
      </c>
      <c r="B553" s="22">
        <v>31.89</v>
      </c>
      <c r="C553" s="23">
        <v>1060000</v>
      </c>
      <c r="D553" s="5">
        <v>9.59</v>
      </c>
    </row>
    <row r="554" spans="1:4">
      <c r="A554" s="17">
        <v>45252</v>
      </c>
      <c r="B554" s="22">
        <v>29.1</v>
      </c>
      <c r="C554" s="23">
        <v>893070</v>
      </c>
      <c r="D554" s="5">
        <v>-2.5099999999999998</v>
      </c>
    </row>
    <row r="555" spans="1:4">
      <c r="A555" s="17">
        <v>45251</v>
      </c>
      <c r="B555" s="22">
        <v>29.85</v>
      </c>
      <c r="C555" s="23">
        <v>821490</v>
      </c>
      <c r="D555" s="5">
        <v>-0.8</v>
      </c>
    </row>
    <row r="556" spans="1:4">
      <c r="A556" s="17">
        <v>45250</v>
      </c>
      <c r="B556" s="22">
        <v>30.09</v>
      </c>
      <c r="C556" s="23">
        <v>2460000</v>
      </c>
      <c r="D556" s="5">
        <v>13.16</v>
      </c>
    </row>
    <row r="557" spans="1:4">
      <c r="A557" s="17">
        <v>45247</v>
      </c>
      <c r="B557" s="22">
        <v>26.59</v>
      </c>
      <c r="C557" s="23">
        <v>638250</v>
      </c>
      <c r="D557" s="5">
        <v>3.66</v>
      </c>
    </row>
    <row r="558" spans="1:4">
      <c r="A558" s="17">
        <v>45246</v>
      </c>
      <c r="B558" s="22">
        <v>25.65</v>
      </c>
      <c r="C558" s="23">
        <v>591710</v>
      </c>
      <c r="D558" s="5">
        <v>-2.4</v>
      </c>
    </row>
    <row r="559" spans="1:4">
      <c r="A559" s="17">
        <v>45245</v>
      </c>
      <c r="B559" s="22">
        <v>26.28</v>
      </c>
      <c r="C559" s="23">
        <v>590290</v>
      </c>
      <c r="D559" s="5">
        <v>-2.12</v>
      </c>
    </row>
    <row r="560" spans="1:4">
      <c r="A560" s="17">
        <v>45244</v>
      </c>
      <c r="B560" s="22">
        <v>26.85</v>
      </c>
      <c r="C560" s="23">
        <v>733200</v>
      </c>
      <c r="D560" s="5">
        <v>2.4</v>
      </c>
    </row>
    <row r="561" spans="1:4">
      <c r="A561" s="17">
        <v>45243</v>
      </c>
      <c r="B561" s="22">
        <v>26.22</v>
      </c>
      <c r="C561" s="23">
        <v>570170</v>
      </c>
      <c r="D561" s="5">
        <v>-2.02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tabSelected="1" workbookViewId="0">
      <selection sqref="A1:B26"/>
    </sheetView>
  </sheetViews>
  <sheetFormatPr baseColWidth="10" defaultColWidth="9.140625" defaultRowHeight="15"/>
  <cols>
    <col min="1" max="1" width="12.28515625" customWidth="1"/>
    <col min="2" max="2" width="21.28515625" style="5" customWidth="1"/>
  </cols>
  <sheetData>
    <row r="1" spans="1:2" ht="15.75" thickBot="1">
      <c r="A1" s="2" t="s">
        <v>4</v>
      </c>
      <c r="B1" s="16" t="s">
        <v>47</v>
      </c>
    </row>
    <row r="2" spans="1:2" ht="15.75" thickBot="1">
      <c r="A2" s="14" t="s">
        <v>22</v>
      </c>
      <c r="B2" s="5">
        <v>0.35550153905819509</v>
      </c>
    </row>
    <row r="3" spans="1:2" ht="15.75" thickBot="1">
      <c r="A3" s="15" t="s">
        <v>23</v>
      </c>
      <c r="B3" s="5">
        <v>0.29405270892999241</v>
      </c>
    </row>
    <row r="4" spans="1:2" ht="15.75" thickBot="1">
      <c r="A4" s="14" t="s">
        <v>24</v>
      </c>
      <c r="B4" s="5">
        <v>-0.25345571553543372</v>
      </c>
    </row>
    <row r="5" spans="1:2" ht="15.75" thickBot="1">
      <c r="A5" s="15" t="s">
        <v>25</v>
      </c>
      <c r="B5" s="5">
        <v>0.4990831165876064</v>
      </c>
    </row>
    <row r="6" spans="1:2" ht="15.75" thickBot="1">
      <c r="A6" s="14" t="s">
        <v>26</v>
      </c>
      <c r="B6" s="5">
        <v>0.1533483845485317</v>
      </c>
    </row>
    <row r="7" spans="1:2" ht="15.75" thickBot="1">
      <c r="A7" s="15" t="s">
        <v>27</v>
      </c>
      <c r="B7" s="5">
        <v>0.1218114714069319</v>
      </c>
    </row>
    <row r="8" spans="1:2" ht="15.75" thickBot="1">
      <c r="A8" s="14" t="s">
        <v>28</v>
      </c>
      <c r="B8" s="5">
        <v>0.42215133954889372</v>
      </c>
    </row>
    <row r="9" spans="1:2" ht="15.75" thickBot="1">
      <c r="A9" s="15" t="s">
        <v>29</v>
      </c>
      <c r="B9" s="5">
        <v>-5.3469396776736643E-2</v>
      </c>
    </row>
    <row r="10" spans="1:2" ht="15.75" thickBot="1">
      <c r="A10" s="14" t="s">
        <v>30</v>
      </c>
      <c r="B10" s="5">
        <v>0.23355079646721921</v>
      </c>
    </row>
    <row r="11" spans="1:2" ht="15.75" thickBot="1">
      <c r="A11" s="15" t="s">
        <v>31</v>
      </c>
      <c r="B11" s="5">
        <v>3.0610888179830039E-2</v>
      </c>
    </row>
    <row r="12" spans="1:2" ht="15.75" thickBot="1">
      <c r="A12" s="14" t="s">
        <v>32</v>
      </c>
      <c r="B12" s="5">
        <v>-0.210117754248972</v>
      </c>
    </row>
    <row r="13" spans="1:2" ht="15.75" thickBot="1">
      <c r="A13" s="15" t="s">
        <v>33</v>
      </c>
      <c r="B13" s="5">
        <v>0.63099588045149935</v>
      </c>
    </row>
    <row r="14" spans="1:2" ht="15.75" thickBot="1">
      <c r="A14" s="14" t="s">
        <v>34</v>
      </c>
      <c r="B14" s="5">
        <v>0.67246360537028993</v>
      </c>
    </row>
    <row r="15" spans="1:2" ht="15.75" thickBot="1">
      <c r="A15" s="15" t="s">
        <v>35</v>
      </c>
      <c r="B15" s="5">
        <v>0.55923753952908972</v>
      </c>
    </row>
    <row r="16" spans="1:2" ht="15.75" thickBot="1">
      <c r="A16" s="14" t="s">
        <v>36</v>
      </c>
      <c r="B16" s="5">
        <v>-0.32815868867632902</v>
      </c>
    </row>
    <row r="17" spans="1:2" ht="15.75" thickBot="1">
      <c r="A17" s="15" t="s">
        <v>37</v>
      </c>
      <c r="B17" s="5">
        <v>-0.2199910756901948</v>
      </c>
    </row>
    <row r="18" spans="1:2" ht="15.75" thickBot="1">
      <c r="A18" s="14" t="s">
        <v>38</v>
      </c>
      <c r="B18" s="5">
        <v>-0.265869318250682</v>
      </c>
    </row>
    <row r="19" spans="1:2" ht="15.75" thickBot="1">
      <c r="A19" s="15" t="s">
        <v>39</v>
      </c>
      <c r="B19" s="5">
        <v>-0.32612530946579549</v>
      </c>
    </row>
    <row r="20" spans="1:2" ht="15.75" thickBot="1">
      <c r="A20" s="14" t="s">
        <v>40</v>
      </c>
      <c r="B20" s="5">
        <v>0.10877665702616141</v>
      </c>
    </row>
    <row r="21" spans="1:2" ht="15.75" thickBot="1">
      <c r="A21" s="15" t="s">
        <v>41</v>
      </c>
      <c r="B21" s="5">
        <v>-2.9284024489231982E-3</v>
      </c>
    </row>
    <row r="22" spans="1:2" ht="15.75" thickBot="1">
      <c r="A22" s="14" t="s">
        <v>42</v>
      </c>
      <c r="B22" s="5">
        <v>-0.34481398151878773</v>
      </c>
    </row>
    <row r="23" spans="1:2" ht="15.75" thickBot="1">
      <c r="A23" s="15" t="s">
        <v>43</v>
      </c>
      <c r="B23" s="5">
        <v>-0.18703673806198129</v>
      </c>
    </row>
    <row r="24" spans="1:2" ht="15.75" thickBot="1">
      <c r="A24" s="14" t="s">
        <v>44</v>
      </c>
      <c r="B24" s="5">
        <v>-0.27032019379171918</v>
      </c>
    </row>
    <row r="25" spans="1:2" ht="15.75" thickBot="1">
      <c r="A25" s="15" t="s">
        <v>45</v>
      </c>
      <c r="B25" s="5">
        <v>0.45251940622141812</v>
      </c>
    </row>
    <row r="26" spans="1:2" ht="15.75" thickBot="1">
      <c r="A26" s="14" t="s">
        <v>46</v>
      </c>
      <c r="B26" s="5">
        <v>0.33317549292044008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5"/>
  <sheetViews>
    <sheetView workbookViewId="0">
      <selection activeCell="A2" sqref="A2:C75"/>
    </sheetView>
  </sheetViews>
  <sheetFormatPr baseColWidth="10" defaultColWidth="9.140625" defaultRowHeight="15"/>
  <cols>
    <col min="3" max="3" width="9.140625" style="5"/>
  </cols>
  <sheetData>
    <row r="1" spans="1:3">
      <c r="A1" s="12" t="s">
        <v>4</v>
      </c>
      <c r="B1" s="12" t="s">
        <v>5</v>
      </c>
      <c r="C1" s="13" t="s">
        <v>3</v>
      </c>
    </row>
    <row r="2" spans="1:3">
      <c r="A2">
        <v>2020</v>
      </c>
      <c r="B2">
        <v>1</v>
      </c>
      <c r="C2" s="5">
        <v>-0.40238095238095228</v>
      </c>
    </row>
    <row r="3" spans="1:3">
      <c r="A3">
        <v>2020</v>
      </c>
      <c r="B3">
        <v>2</v>
      </c>
      <c r="C3" s="5">
        <v>-0.6305263157894736</v>
      </c>
    </row>
    <row r="4" spans="1:3">
      <c r="A4">
        <v>2020</v>
      </c>
      <c r="B4">
        <v>3</v>
      </c>
      <c r="C4" s="5">
        <v>-4.3895454545454546</v>
      </c>
    </row>
    <row r="5" spans="1:3">
      <c r="A5">
        <v>2020</v>
      </c>
      <c r="B5">
        <v>4</v>
      </c>
      <c r="C5" s="5">
        <v>2.0090476190476192</v>
      </c>
    </row>
    <row r="6" spans="1:3">
      <c r="A6">
        <v>2020</v>
      </c>
      <c r="B6">
        <v>5</v>
      </c>
      <c r="C6" s="5">
        <v>0.31050000000000011</v>
      </c>
    </row>
    <row r="7" spans="1:3">
      <c r="A7">
        <v>2020</v>
      </c>
      <c r="B7">
        <v>6</v>
      </c>
      <c r="C7" s="5">
        <v>0.35227272727272729</v>
      </c>
    </row>
    <row r="8" spans="1:3">
      <c r="A8">
        <v>2020</v>
      </c>
      <c r="B8">
        <v>7</v>
      </c>
      <c r="C8" s="5">
        <v>0.70545454545454545</v>
      </c>
    </row>
    <row r="9" spans="1:3">
      <c r="A9">
        <v>2020</v>
      </c>
      <c r="B9">
        <v>8</v>
      </c>
      <c r="C9" s="5">
        <v>-0.93095238095238086</v>
      </c>
    </row>
    <row r="10" spans="1:3">
      <c r="A10">
        <v>2020</v>
      </c>
      <c r="B10">
        <v>9</v>
      </c>
      <c r="C10" s="5">
        <v>-1.0371428571428569</v>
      </c>
    </row>
    <row r="11" spans="1:3">
      <c r="A11">
        <v>2020</v>
      </c>
      <c r="B11">
        <v>10</v>
      </c>
      <c r="C11" s="5">
        <v>-0.52181818181818185</v>
      </c>
    </row>
    <row r="12" spans="1:3">
      <c r="A12">
        <v>2020</v>
      </c>
      <c r="B12">
        <v>11</v>
      </c>
      <c r="C12" s="5">
        <v>1.5085</v>
      </c>
    </row>
    <row r="13" spans="1:3">
      <c r="A13">
        <v>2020</v>
      </c>
      <c r="B13">
        <v>12</v>
      </c>
      <c r="C13" s="5">
        <v>-0.11454545454545451</v>
      </c>
    </row>
    <row r="14" spans="1:3">
      <c r="A14">
        <v>2021</v>
      </c>
      <c r="B14">
        <v>1</v>
      </c>
      <c r="C14" s="5">
        <v>-9.3157894736842065E-2</v>
      </c>
    </row>
    <row r="15" spans="1:3">
      <c r="A15">
        <v>2021</v>
      </c>
      <c r="B15">
        <v>2</v>
      </c>
      <c r="C15" s="5">
        <v>0.51105263157894731</v>
      </c>
    </row>
    <row r="16" spans="1:3">
      <c r="A16">
        <v>2021</v>
      </c>
      <c r="B16">
        <v>3</v>
      </c>
      <c r="C16" s="5">
        <v>-0.19130434782608699</v>
      </c>
    </row>
    <row r="17" spans="1:3">
      <c r="A17">
        <v>2021</v>
      </c>
      <c r="B17">
        <v>4</v>
      </c>
      <c r="C17" s="5">
        <v>0.21</v>
      </c>
    </row>
    <row r="18" spans="1:3">
      <c r="A18">
        <v>2021</v>
      </c>
      <c r="B18">
        <v>5</v>
      </c>
      <c r="C18" s="5">
        <v>1.5495000000000001</v>
      </c>
    </row>
    <row r="19" spans="1:3">
      <c r="A19">
        <v>2021</v>
      </c>
      <c r="B19">
        <v>6</v>
      </c>
      <c r="C19" s="5">
        <v>0.64954545454545454</v>
      </c>
    </row>
    <row r="20" spans="1:3">
      <c r="A20">
        <v>2021</v>
      </c>
      <c r="B20">
        <v>7</v>
      </c>
      <c r="C20" s="5">
        <v>0.82380952380952366</v>
      </c>
    </row>
    <row r="21" spans="1:3">
      <c r="A21">
        <v>2021</v>
      </c>
      <c r="B21">
        <v>8</v>
      </c>
      <c r="C21" s="5">
        <v>-9.2727272727272825E-2</v>
      </c>
    </row>
    <row r="22" spans="1:3">
      <c r="A22">
        <v>2021</v>
      </c>
      <c r="B22">
        <v>9</v>
      </c>
      <c r="C22" s="5">
        <v>0.48619047619047617</v>
      </c>
    </row>
    <row r="23" spans="1:3">
      <c r="A23">
        <v>2021</v>
      </c>
      <c r="B23">
        <v>10</v>
      </c>
      <c r="C23" s="5">
        <v>1.195238095238095</v>
      </c>
    </row>
    <row r="24" spans="1:3">
      <c r="A24">
        <v>2021</v>
      </c>
      <c r="B24">
        <v>11</v>
      </c>
      <c r="C24" s="5">
        <v>-1.0866666666666669</v>
      </c>
    </row>
    <row r="25" spans="1:3">
      <c r="A25">
        <v>2021</v>
      </c>
      <c r="B25">
        <v>12</v>
      </c>
      <c r="C25" s="5">
        <v>0.30499999999999999</v>
      </c>
    </row>
    <row r="26" spans="1:3">
      <c r="A26">
        <v>2022</v>
      </c>
      <c r="B26">
        <v>1</v>
      </c>
      <c r="C26" s="5">
        <v>0.89600000000000013</v>
      </c>
    </row>
    <row r="27" spans="1:3">
      <c r="A27">
        <v>2022</v>
      </c>
      <c r="B27">
        <v>2</v>
      </c>
      <c r="C27" s="5">
        <v>1.5194736842105261</v>
      </c>
    </row>
    <row r="28" spans="1:3">
      <c r="A28">
        <v>2022</v>
      </c>
      <c r="B28">
        <v>3</v>
      </c>
      <c r="C28" s="5">
        <v>0.49173913043478268</v>
      </c>
    </row>
    <row r="29" spans="1:3">
      <c r="A29">
        <v>2022</v>
      </c>
      <c r="B29">
        <v>4</v>
      </c>
      <c r="C29" s="5">
        <v>-0.30249999999999988</v>
      </c>
    </row>
    <row r="30" spans="1:3">
      <c r="A30">
        <v>2022</v>
      </c>
      <c r="B30">
        <v>5</v>
      </c>
      <c r="C30" s="5">
        <v>0.45380952380952388</v>
      </c>
    </row>
    <row r="31" spans="1:3">
      <c r="A31">
        <v>2022</v>
      </c>
      <c r="B31">
        <v>6</v>
      </c>
      <c r="C31" s="5">
        <v>-0.93428571428571439</v>
      </c>
    </row>
    <row r="32" spans="1:3">
      <c r="A32">
        <v>2022</v>
      </c>
      <c r="B32">
        <v>7</v>
      </c>
      <c r="C32" s="5">
        <v>1.0069999999999999</v>
      </c>
    </row>
    <row r="33" spans="1:3">
      <c r="A33">
        <v>2022</v>
      </c>
      <c r="B33">
        <v>8</v>
      </c>
      <c r="C33" s="5">
        <v>0.55608695652173912</v>
      </c>
    </row>
    <row r="34" spans="1:3">
      <c r="A34">
        <v>2022</v>
      </c>
      <c r="B34">
        <v>9</v>
      </c>
      <c r="C34" s="5">
        <v>-0.15761904761904769</v>
      </c>
    </row>
    <row r="35" spans="1:3">
      <c r="A35">
        <v>2022</v>
      </c>
      <c r="B35">
        <v>10</v>
      </c>
      <c r="C35" s="5">
        <v>1.7138095238095239</v>
      </c>
    </row>
    <row r="36" spans="1:3">
      <c r="A36">
        <v>2022</v>
      </c>
      <c r="B36">
        <v>11</v>
      </c>
      <c r="C36" s="5">
        <v>0.45142857142857129</v>
      </c>
    </row>
    <row r="37" spans="1:3">
      <c r="A37">
        <v>2022</v>
      </c>
      <c r="B37">
        <v>12</v>
      </c>
      <c r="C37" s="5">
        <v>0.44428571428571439</v>
      </c>
    </row>
    <row r="38" spans="1:3">
      <c r="A38">
        <v>2023</v>
      </c>
      <c r="B38">
        <v>1</v>
      </c>
      <c r="C38" s="5">
        <v>0.14349999999999999</v>
      </c>
    </row>
    <row r="39" spans="1:3">
      <c r="A39">
        <v>2023</v>
      </c>
      <c r="B39">
        <v>2</v>
      </c>
      <c r="C39" s="5">
        <v>0.71526315789473682</v>
      </c>
    </row>
    <row r="40" spans="1:3">
      <c r="A40">
        <v>2023</v>
      </c>
      <c r="B40">
        <v>3</v>
      </c>
      <c r="C40" s="5">
        <v>0.47826086956521741</v>
      </c>
    </row>
    <row r="41" spans="1:3">
      <c r="A41">
        <v>2023</v>
      </c>
      <c r="B41">
        <v>4</v>
      </c>
      <c r="C41" s="5">
        <v>0.32631578947368423</v>
      </c>
    </row>
    <row r="42" spans="1:3">
      <c r="A42">
        <v>2023</v>
      </c>
      <c r="B42">
        <v>5</v>
      </c>
      <c r="C42" s="5">
        <v>-9.0909090909090592E-3</v>
      </c>
    </row>
    <row r="43" spans="1:3">
      <c r="A43">
        <v>2023</v>
      </c>
      <c r="B43">
        <v>6</v>
      </c>
      <c r="C43" s="5">
        <v>0.76761904761904765</v>
      </c>
    </row>
    <row r="44" spans="1:3">
      <c r="A44">
        <v>2023</v>
      </c>
      <c r="B44">
        <v>7</v>
      </c>
      <c r="C44" s="5">
        <v>0.442</v>
      </c>
    </row>
    <row r="45" spans="1:3">
      <c r="A45">
        <v>2023</v>
      </c>
      <c r="B45">
        <v>8</v>
      </c>
      <c r="C45" s="5">
        <v>0.13304347826086951</v>
      </c>
    </row>
    <row r="46" spans="1:3">
      <c r="A46">
        <v>2023</v>
      </c>
      <c r="B46">
        <v>9</v>
      </c>
      <c r="C46" s="5">
        <v>0.6825</v>
      </c>
    </row>
    <row r="47" spans="1:3">
      <c r="A47">
        <v>2023</v>
      </c>
      <c r="B47">
        <v>10</v>
      </c>
      <c r="C47" s="5">
        <v>-0.47545454545454552</v>
      </c>
    </row>
    <row r="48" spans="1:3">
      <c r="A48">
        <v>2023</v>
      </c>
      <c r="B48">
        <v>11</v>
      </c>
      <c r="C48" s="5">
        <v>0.68047619047619057</v>
      </c>
    </row>
    <row r="49" spans="1:3">
      <c r="A49">
        <v>2023</v>
      </c>
      <c r="B49">
        <v>12</v>
      </c>
      <c r="C49" s="5">
        <v>-0.18849999999999989</v>
      </c>
    </row>
    <row r="50" spans="1:3">
      <c r="A50">
        <v>2024</v>
      </c>
      <c r="B50">
        <v>1</v>
      </c>
      <c r="C50" s="5">
        <v>0.52142857142857135</v>
      </c>
    </row>
    <row r="51" spans="1:3">
      <c r="A51">
        <v>2024</v>
      </c>
      <c r="B51">
        <v>2</v>
      </c>
      <c r="C51" s="5">
        <v>0.60200000000000009</v>
      </c>
    </row>
    <row r="52" spans="1:3">
      <c r="A52">
        <v>2024</v>
      </c>
      <c r="B52">
        <v>3</v>
      </c>
      <c r="C52" s="5">
        <v>0.61050000000000004</v>
      </c>
    </row>
    <row r="53" spans="1:3">
      <c r="A53">
        <v>2024</v>
      </c>
      <c r="B53">
        <v>4</v>
      </c>
      <c r="C53" s="5">
        <v>0.2072727272727273</v>
      </c>
    </row>
    <row r="54" spans="1:3">
      <c r="A54">
        <v>2024</v>
      </c>
      <c r="B54">
        <v>5</v>
      </c>
      <c r="C54" s="5">
        <v>0.56000000000000005</v>
      </c>
    </row>
    <row r="55" spans="1:3">
      <c r="A55">
        <v>2024</v>
      </c>
      <c r="B55">
        <v>6</v>
      </c>
      <c r="C55" s="5">
        <v>-0.29052631578947369</v>
      </c>
    </row>
    <row r="56" spans="1:3">
      <c r="A56">
        <v>2024</v>
      </c>
      <c r="B56">
        <v>7</v>
      </c>
      <c r="C56" s="5">
        <v>-4.5454545454545704E-3</v>
      </c>
    </row>
    <row r="57" spans="1:3">
      <c r="A57">
        <v>2024</v>
      </c>
      <c r="B57">
        <v>8</v>
      </c>
      <c r="C57" s="5">
        <v>0.70500000000000007</v>
      </c>
    </row>
    <row r="58" spans="1:3">
      <c r="A58">
        <v>2024</v>
      </c>
      <c r="B58">
        <v>9</v>
      </c>
      <c r="C58" s="5">
        <v>-0.78249999999999997</v>
      </c>
    </row>
    <row r="59" spans="1:3">
      <c r="A59">
        <v>2024</v>
      </c>
      <c r="B59">
        <v>10</v>
      </c>
      <c r="C59" s="5">
        <v>0.56478260869565222</v>
      </c>
    </row>
    <row r="60" spans="1:3">
      <c r="A60">
        <v>2024</v>
      </c>
      <c r="B60">
        <v>11</v>
      </c>
      <c r="C60" s="5">
        <v>0.36899999999999988</v>
      </c>
    </row>
    <row r="61" spans="1:3">
      <c r="A61">
        <v>2024</v>
      </c>
      <c r="B61">
        <v>12</v>
      </c>
      <c r="C61" s="5">
        <v>0.1028571428571429</v>
      </c>
    </row>
    <row r="62" spans="1:3">
      <c r="A62">
        <v>2025</v>
      </c>
      <c r="B62">
        <v>1</v>
      </c>
      <c r="C62" s="5">
        <v>2.4999999999999929E-2</v>
      </c>
    </row>
    <row r="63" spans="1:3">
      <c r="A63">
        <v>2025</v>
      </c>
      <c r="B63">
        <v>2</v>
      </c>
      <c r="C63" s="5">
        <v>-0.27736842105263149</v>
      </c>
    </row>
    <row r="64" spans="1:3">
      <c r="A64">
        <v>2025</v>
      </c>
      <c r="B64">
        <v>3</v>
      </c>
      <c r="C64" s="5">
        <v>-0.34190476190476182</v>
      </c>
    </row>
    <row r="65" spans="1:3">
      <c r="A65">
        <v>2025</v>
      </c>
      <c r="B65">
        <v>4</v>
      </c>
      <c r="C65" s="5">
        <v>3.2857142857142883E-2</v>
      </c>
    </row>
    <row r="66" spans="1:3">
      <c r="A66">
        <v>2025</v>
      </c>
      <c r="B66">
        <v>5</v>
      </c>
      <c r="C66" s="5">
        <v>0.46333333333333337</v>
      </c>
    </row>
    <row r="67" spans="1:3">
      <c r="A67">
        <v>2025</v>
      </c>
      <c r="B67">
        <v>6</v>
      </c>
      <c r="C67" s="5">
        <v>-0.14799999999999999</v>
      </c>
    </row>
    <row r="68" spans="1:3">
      <c r="A68">
        <v>2025</v>
      </c>
      <c r="B68">
        <v>7</v>
      </c>
      <c r="C68" s="5">
        <v>-0.27090909090909088</v>
      </c>
    </row>
    <row r="69" spans="1:3">
      <c r="A69">
        <v>2025</v>
      </c>
      <c r="B69">
        <v>8</v>
      </c>
      <c r="C69" s="5">
        <v>-0.62809523809523804</v>
      </c>
    </row>
    <row r="70" spans="1:3">
      <c r="A70">
        <v>2025</v>
      </c>
      <c r="B70">
        <v>9</v>
      </c>
      <c r="C70" s="5">
        <v>-0.52</v>
      </c>
    </row>
    <row r="71" spans="1:3">
      <c r="A71">
        <v>2025</v>
      </c>
      <c r="B71">
        <v>10</v>
      </c>
      <c r="C71" s="5">
        <v>1.6186956521739131</v>
      </c>
    </row>
    <row r="72" spans="1:3">
      <c r="A72">
        <v>2025</v>
      </c>
      <c r="B72">
        <v>11</v>
      </c>
      <c r="C72" s="5">
        <v>9.9473684210526325E-2</v>
      </c>
    </row>
    <row r="73" spans="1:3">
      <c r="A73">
        <v>2025</v>
      </c>
      <c r="B73">
        <v>12</v>
      </c>
      <c r="C73" s="5">
        <v>-2.2727272727272738E-2</v>
      </c>
    </row>
    <row r="74" spans="1:3">
      <c r="A74">
        <v>2026</v>
      </c>
      <c r="B74">
        <v>1</v>
      </c>
      <c r="C74" s="5">
        <v>1.135</v>
      </c>
    </row>
    <row r="75" spans="1:3">
      <c r="A75">
        <v>2026</v>
      </c>
      <c r="B75">
        <v>2</v>
      </c>
      <c r="C75" s="5">
        <v>-1.476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8"/>
  <sheetViews>
    <sheetView workbookViewId="0">
      <selection activeCell="B8" sqref="B8:C8"/>
    </sheetView>
  </sheetViews>
  <sheetFormatPr baseColWidth="10" defaultColWidth="9.140625" defaultRowHeight="15"/>
  <sheetData>
    <row r="1" spans="1:13">
      <c r="A1" t="s">
        <v>4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>
      <c r="A2">
        <v>2020</v>
      </c>
      <c r="B2" s="5">
        <v>-0.40238095238095228</v>
      </c>
      <c r="C2" s="5">
        <v>-0.6305263157894736</v>
      </c>
      <c r="D2" s="5">
        <v>-4.3895454545454546</v>
      </c>
      <c r="E2" s="5">
        <v>2.0090476190476192</v>
      </c>
      <c r="F2" s="5">
        <v>0.31050000000000011</v>
      </c>
      <c r="G2" s="5">
        <v>0.35227272727272729</v>
      </c>
      <c r="H2" s="5">
        <v>0.70545454545454545</v>
      </c>
      <c r="I2" s="5">
        <v>-0.93095238095238086</v>
      </c>
      <c r="J2" s="5">
        <v>-1.0371428571428569</v>
      </c>
      <c r="K2" s="5">
        <v>-0.52181818181818185</v>
      </c>
      <c r="L2" s="5">
        <v>1.5085</v>
      </c>
      <c r="M2" s="5">
        <v>-0.11454545454545451</v>
      </c>
    </row>
    <row r="3" spans="1:13">
      <c r="A3">
        <v>2021</v>
      </c>
      <c r="B3" s="5">
        <v>-9.3157894736842065E-2</v>
      </c>
      <c r="C3" s="5">
        <v>0.51105263157894731</v>
      </c>
      <c r="D3" s="5">
        <v>-0.19130434782608699</v>
      </c>
      <c r="E3" s="5">
        <v>0.21</v>
      </c>
      <c r="F3" s="5">
        <v>1.5495000000000001</v>
      </c>
      <c r="G3" s="5">
        <v>0.64954545454545454</v>
      </c>
      <c r="H3" s="5">
        <v>0.82380952380952366</v>
      </c>
      <c r="I3" s="5">
        <v>-9.2727272727272825E-2</v>
      </c>
      <c r="J3" s="5">
        <v>0.48619047619047617</v>
      </c>
      <c r="K3" s="5">
        <v>1.195238095238095</v>
      </c>
      <c r="L3" s="5">
        <v>-1.0866666666666669</v>
      </c>
      <c r="M3" s="5">
        <v>0.30499999999999999</v>
      </c>
    </row>
    <row r="4" spans="1:13">
      <c r="A4">
        <v>2022</v>
      </c>
      <c r="B4" s="5">
        <v>0.89600000000000013</v>
      </c>
      <c r="C4" s="5">
        <v>1.5194736842105261</v>
      </c>
      <c r="D4" s="5">
        <v>0.49173913043478268</v>
      </c>
      <c r="E4" s="5">
        <v>-0.30249999999999988</v>
      </c>
      <c r="F4" s="5">
        <v>0.45380952380952388</v>
      </c>
      <c r="G4" s="5">
        <v>-0.93428571428571439</v>
      </c>
      <c r="H4" s="5">
        <v>1.0069999999999999</v>
      </c>
      <c r="I4" s="5">
        <v>0.55608695652173912</v>
      </c>
      <c r="J4" s="5">
        <v>-0.15761904761904769</v>
      </c>
      <c r="K4" s="5">
        <v>1.7138095238095239</v>
      </c>
      <c r="L4" s="5">
        <v>0.45142857142857129</v>
      </c>
      <c r="M4" s="5">
        <v>0.44428571428571439</v>
      </c>
    </row>
    <row r="5" spans="1:13">
      <c r="A5">
        <v>2023</v>
      </c>
      <c r="B5" s="5">
        <v>0.14349999999999999</v>
      </c>
      <c r="C5" s="5">
        <v>0.71526315789473682</v>
      </c>
      <c r="D5" s="5">
        <v>0.47826086956521741</v>
      </c>
      <c r="E5" s="5">
        <v>0.32631578947368423</v>
      </c>
      <c r="F5" s="5">
        <v>-9.0909090909090592E-3</v>
      </c>
      <c r="G5" s="5">
        <v>0.76761904761904765</v>
      </c>
      <c r="H5" s="5">
        <v>0.442</v>
      </c>
      <c r="I5" s="5">
        <v>0.13304347826086951</v>
      </c>
      <c r="J5" s="5">
        <v>0.6825</v>
      </c>
      <c r="K5" s="5">
        <v>-0.47545454545454552</v>
      </c>
      <c r="L5" s="5">
        <v>0.68047619047619057</v>
      </c>
      <c r="M5" s="5">
        <v>-0.18849999999999989</v>
      </c>
    </row>
    <row r="6" spans="1:13">
      <c r="A6">
        <v>2024</v>
      </c>
      <c r="B6" s="5">
        <v>0.52142857142857135</v>
      </c>
      <c r="C6" s="5">
        <v>0.60200000000000009</v>
      </c>
      <c r="D6" s="5">
        <v>0.61050000000000004</v>
      </c>
      <c r="E6" s="5">
        <v>0.2072727272727273</v>
      </c>
      <c r="F6" s="5">
        <v>0.56000000000000005</v>
      </c>
      <c r="G6" s="5">
        <v>-0.29052631578947369</v>
      </c>
      <c r="H6" s="5">
        <v>-4.5454545454545704E-3</v>
      </c>
      <c r="I6" s="5">
        <v>0.70500000000000007</v>
      </c>
      <c r="J6" s="5">
        <v>-0.78249999999999997</v>
      </c>
      <c r="K6" s="5">
        <v>0.56478260869565222</v>
      </c>
      <c r="L6" s="5">
        <v>0.36899999999999988</v>
      </c>
      <c r="M6" s="5">
        <v>0.1028571428571429</v>
      </c>
    </row>
    <row r="7" spans="1:13">
      <c r="A7">
        <v>2025</v>
      </c>
      <c r="B7" s="5">
        <v>2.4999999999999929E-2</v>
      </c>
      <c r="C7" s="5">
        <v>-0.27736842105263149</v>
      </c>
      <c r="D7" s="5">
        <v>-0.34190476190476182</v>
      </c>
      <c r="E7" s="5">
        <v>3.2857142857142883E-2</v>
      </c>
      <c r="F7" s="5">
        <v>0.46333333333333337</v>
      </c>
      <c r="G7" s="5">
        <v>-0.14799999999999999</v>
      </c>
      <c r="H7" s="5">
        <v>-0.27090909090909088</v>
      </c>
      <c r="I7" s="5">
        <v>-0.62809523809523804</v>
      </c>
      <c r="J7" s="5">
        <v>-0.52</v>
      </c>
      <c r="K7" s="5">
        <v>1.6186956521739131</v>
      </c>
      <c r="L7" s="5">
        <v>-8.0000000000000071E-3</v>
      </c>
      <c r="M7" s="5"/>
    </row>
    <row r="8" spans="1:13">
      <c r="A8">
        <v>2026</v>
      </c>
      <c r="B8" s="5">
        <v>1.135</v>
      </c>
      <c r="C8" s="5">
        <v>-1.476</v>
      </c>
      <c r="D8" s="5"/>
      <c r="E8" s="5"/>
      <c r="F8" s="5"/>
      <c r="G8" s="5"/>
      <c r="H8" s="5"/>
      <c r="I8" s="5"/>
      <c r="J8" s="5"/>
      <c r="K8" s="5"/>
      <c r="L8" s="5"/>
      <c r="M8" s="5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workbookViewId="0">
      <selection activeCell="E9" sqref="E9"/>
    </sheetView>
  </sheetViews>
  <sheetFormatPr baseColWidth="10" defaultColWidth="9.140625" defaultRowHeight="15"/>
  <cols>
    <col min="1" max="1" width="6.7109375" customWidth="1"/>
    <col min="2" max="2" width="21.5703125" customWidth="1"/>
    <col min="3" max="3" width="19.140625" customWidth="1"/>
    <col min="4" max="4" width="18.28515625" customWidth="1"/>
    <col min="5" max="5" width="28" customWidth="1"/>
  </cols>
  <sheetData>
    <row r="1" spans="1:8">
      <c r="A1" s="9" t="s">
        <v>4</v>
      </c>
      <c r="B1" s="3" t="s">
        <v>6</v>
      </c>
      <c r="C1" s="3" t="s">
        <v>7</v>
      </c>
      <c r="D1" s="1" t="s">
        <v>8</v>
      </c>
      <c r="E1" t="s">
        <v>9</v>
      </c>
    </row>
    <row r="2" spans="1:8">
      <c r="A2" s="10">
        <v>2020</v>
      </c>
      <c r="B2" s="4">
        <v>8.0500000000000007</v>
      </c>
      <c r="C2" s="4">
        <v>2.56</v>
      </c>
      <c r="D2">
        <v>-68.198757763975195</v>
      </c>
      <c r="E2" s="7">
        <f>-68.1987577639752/100</f>
        <v>-0.68198757763975193</v>
      </c>
    </row>
    <row r="3" spans="1:8">
      <c r="A3" s="11">
        <v>2021</v>
      </c>
      <c r="B3" s="4">
        <v>2.52</v>
      </c>
      <c r="C3" s="4">
        <v>5.33</v>
      </c>
      <c r="D3">
        <v>111.507936507937</v>
      </c>
      <c r="E3" s="7">
        <f>111.507936507937/100</f>
        <v>1.11507936507937</v>
      </c>
    </row>
    <row r="4" spans="1:8">
      <c r="A4" s="10">
        <v>2022</v>
      </c>
      <c r="B4" s="4">
        <v>5.36</v>
      </c>
      <c r="C4" s="4">
        <v>15.66</v>
      </c>
      <c r="D4">
        <v>192.16417910447799</v>
      </c>
      <c r="E4" s="8">
        <f>192.164179104478/100</f>
        <v>1.9216417910447801</v>
      </c>
    </row>
    <row r="5" spans="1:8">
      <c r="A5" s="11">
        <v>2023</v>
      </c>
      <c r="B5" s="4">
        <v>14.37</v>
      </c>
      <c r="C5" s="4">
        <v>29.51</v>
      </c>
      <c r="D5">
        <v>105.3583855254</v>
      </c>
      <c r="E5" s="8">
        <f>105.3583855254/100</f>
        <v>1.053583855254</v>
      </c>
    </row>
    <row r="6" spans="1:8">
      <c r="A6" s="10">
        <v>2024</v>
      </c>
      <c r="B6" s="4">
        <v>28.51</v>
      </c>
      <c r="C6" s="4">
        <v>54.11</v>
      </c>
      <c r="D6">
        <v>89.793055068396995</v>
      </c>
      <c r="E6" s="8">
        <f>89.793055068397/100</f>
        <v>0.89793055068396999</v>
      </c>
    </row>
    <row r="7" spans="1:8">
      <c r="A7" s="11">
        <v>2025</v>
      </c>
      <c r="B7" s="22">
        <v>55.9</v>
      </c>
      <c r="C7" s="22">
        <v>48.66</v>
      </c>
      <c r="D7">
        <v>-12.951699463327371</v>
      </c>
      <c r="E7" s="8">
        <f>-12.9516994633274/100</f>
        <v>-0.12951699463327399</v>
      </c>
    </row>
    <row r="8" spans="1:8">
      <c r="A8" s="11">
        <v>2026</v>
      </c>
      <c r="B8" s="22">
        <v>48.81</v>
      </c>
      <c r="C8" s="22">
        <v>55.94</v>
      </c>
      <c r="D8">
        <v>14.607662364269601</v>
      </c>
      <c r="E8" s="8">
        <f>14.6076623642696/100</f>
        <v>0.146076623642696</v>
      </c>
    </row>
    <row r="9" spans="1:8">
      <c r="H9" s="6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filtro_por_año</vt:lpstr>
      <vt:lpstr>df_Corr_filtro</vt:lpstr>
      <vt:lpstr>Correlacion_mensual</vt:lpstr>
      <vt:lpstr>var_mensual</vt:lpstr>
      <vt:lpstr>Var_mensual_Heatmap</vt:lpstr>
      <vt:lpstr>Retorno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costa</cp:lastModifiedBy>
  <dcterms:created xsi:type="dcterms:W3CDTF">2025-11-23T20:36:41Z</dcterms:created>
  <dcterms:modified xsi:type="dcterms:W3CDTF">2026-02-07T12:23:22Z</dcterms:modified>
</cp:coreProperties>
</file>